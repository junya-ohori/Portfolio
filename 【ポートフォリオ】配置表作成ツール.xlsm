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ocuments\"/>
    </mc:Choice>
  </mc:AlternateContent>
  <xr:revisionPtr revIDLastSave="0" documentId="13_ncr:1_{194E5E71-61DF-4964-94F8-D7C0E662CE98}" xr6:coauthVersionLast="47" xr6:coauthVersionMax="47" xr10:uidLastSave="{00000000-0000-0000-0000-000000000000}"/>
  <bookViews>
    <workbookView xWindow="4320" yWindow="0" windowWidth="19680" windowHeight="12900" xr2:uid="{00000000-000D-0000-FFFF-FFFF00000000}"/>
  </bookViews>
  <sheets>
    <sheet name="配置表作成" sheetId="1" r:id="rId1"/>
    <sheet name="配置表" sheetId="7" r:id="rId2"/>
    <sheet name="出欠一覧" sheetId="4" r:id="rId3"/>
    <sheet name="社員名簿" sheetId="5" r:id="rId4"/>
  </sheets>
  <functionGroups builtInGroupCount="19"/>
  <definedNames>
    <definedName name="_xlnm._FilterDatabase" localSheetId="3" hidden="1">社員名簿!$A$1:$H$31</definedName>
    <definedName name="_xlnm.Print_Area" localSheetId="1">配置表!$A$1:$H$110</definedName>
    <definedName name="_xlnm.Print_Area" localSheetId="0">配置表作成!$A$1:$J$20</definedName>
    <definedName name="_xlnm.Print_Titles" localSheetId="1">配置表!$1:$5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" i="5" l="1"/>
  <c r="E2" i="5"/>
  <c r="J12" i="7"/>
  <c r="M8" i="7"/>
  <c r="L8" i="7"/>
  <c r="K8" i="7"/>
  <c r="J8" i="7"/>
  <c r="N18" i="7" l="1"/>
  <c r="M18" i="7"/>
  <c r="L18" i="7"/>
  <c r="K18" i="7"/>
  <c r="J18" i="7"/>
  <c r="L15" i="7"/>
  <c r="K15" i="7"/>
  <c r="S15" i="7"/>
  <c r="R15" i="7"/>
  <c r="Q15" i="7"/>
  <c r="P15" i="7"/>
  <c r="O15" i="7"/>
  <c r="N15" i="7"/>
  <c r="M15" i="7"/>
  <c r="J15" i="7"/>
  <c r="S12" i="7"/>
  <c r="R12" i="7"/>
  <c r="Q12" i="7"/>
  <c r="P12" i="7"/>
  <c r="O12" i="7"/>
  <c r="N12" i="7"/>
  <c r="M12" i="7"/>
  <c r="L12" i="7"/>
  <c r="K12" i="7"/>
  <c r="B34" i="5" l="1"/>
  <c r="F2" i="5" l="1"/>
  <c r="E3" i="5"/>
  <c r="F3" i="5"/>
  <c r="E4" i="5"/>
  <c r="F4" i="5"/>
  <c r="E5" i="5"/>
  <c r="F5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B35" i="5"/>
  <c r="B36" i="5"/>
</calcChain>
</file>

<file path=xl/sharedStrings.xml><?xml version="1.0" encoding="utf-8"?>
<sst xmlns="http://schemas.openxmlformats.org/spreadsheetml/2006/main" count="420" uniqueCount="269">
  <si>
    <t>配置表作成ツール</t>
    <rPh sb="0" eb="2">
      <t>ハイチ</t>
    </rPh>
    <rPh sb="2" eb="3">
      <t>ヒョウ</t>
    </rPh>
    <rPh sb="3" eb="5">
      <t>サクセイ</t>
    </rPh>
    <phoneticPr fontId="1"/>
  </si>
  <si>
    <t>使い方</t>
    <rPh sb="0" eb="1">
      <t>ツカ</t>
    </rPh>
    <rPh sb="2" eb="3">
      <t>カタ</t>
    </rPh>
    <phoneticPr fontId="1"/>
  </si>
  <si>
    <t>ID</t>
  </si>
  <si>
    <t>開始時刻</t>
  </si>
  <si>
    <t>完了時刻</t>
  </si>
  <si>
    <t>メール</t>
  </si>
  <si>
    <t>名前</t>
  </si>
  <si>
    <t>出席</t>
  </si>
  <si>
    <t>欠席</t>
  </si>
  <si>
    <t>出席</t>
    <rPh sb="0" eb="2">
      <t>シュッセキ</t>
    </rPh>
    <phoneticPr fontId="1"/>
  </si>
  <si>
    <t>所属（大阪）</t>
    <rPh sb="0" eb="2">
      <t>ショゾク</t>
    </rPh>
    <rPh sb="3" eb="5">
      <t>オオサカ</t>
    </rPh>
    <phoneticPr fontId="1"/>
  </si>
  <si>
    <t>所属（東京）</t>
    <rPh sb="0" eb="2">
      <t>ショゾク</t>
    </rPh>
    <rPh sb="3" eb="5">
      <t>トウキョウ</t>
    </rPh>
    <phoneticPr fontId="1"/>
  </si>
  <si>
    <t>社員数</t>
    <rPh sb="0" eb="3">
      <t>シャインスウ</t>
    </rPh>
    <phoneticPr fontId="1"/>
  </si>
  <si>
    <t>東京</t>
    <phoneticPr fontId="1"/>
  </si>
  <si>
    <t>大阪</t>
    <phoneticPr fontId="1"/>
  </si>
  <si>
    <t>r-nasu@zero-spi.com</t>
    <phoneticPr fontId="1"/>
  </si>
  <si>
    <t>k-iwasaki@zero-spi.com</t>
    <phoneticPr fontId="1"/>
  </si>
  <si>
    <t>k-tokuda@zero-spi.com</t>
    <phoneticPr fontId="1"/>
  </si>
  <si>
    <t>m-suzuki@zero-spi.com</t>
    <phoneticPr fontId="1"/>
  </si>
  <si>
    <t>m-matsunaga@zero-spi.com</t>
    <phoneticPr fontId="1"/>
  </si>
  <si>
    <t>k-higashiura@zero-spi.com</t>
    <phoneticPr fontId="1"/>
  </si>
  <si>
    <t>東京</t>
    <phoneticPr fontId="1"/>
  </si>
  <si>
    <t>m-takeuchi@zero-spi.com</t>
    <phoneticPr fontId="1"/>
  </si>
  <si>
    <t>大阪</t>
    <phoneticPr fontId="1"/>
  </si>
  <si>
    <t>y-kimura@zero-spi.com</t>
    <phoneticPr fontId="1"/>
  </si>
  <si>
    <t>y-fujimoto@zero-spi.com</t>
    <phoneticPr fontId="1"/>
  </si>
  <si>
    <t>j-oohori@zero-spi.com</t>
    <phoneticPr fontId="1"/>
  </si>
  <si>
    <t>s-ashizawa@zero-spi.com</t>
    <phoneticPr fontId="1"/>
  </si>
  <si>
    <t>y-hamada@zero-spi.com</t>
    <phoneticPr fontId="1"/>
  </si>
  <si>
    <t>r-watanabe@zero-spi.com</t>
    <phoneticPr fontId="1"/>
  </si>
  <si>
    <t>s-takanoshi@zero-spi.com</t>
    <phoneticPr fontId="1"/>
  </si>
  <si>
    <t>sungmin-kang@zero-spi.com</t>
    <phoneticPr fontId="1"/>
  </si>
  <si>
    <t>r-inagaki@zero-spi.com</t>
    <phoneticPr fontId="1"/>
  </si>
  <si>
    <t>k-yamaoka@zero-spi.com</t>
    <phoneticPr fontId="1"/>
  </si>
  <si>
    <t>東京</t>
    <phoneticPr fontId="1"/>
  </si>
  <si>
    <t>n-okamoto@zero-spi.com</t>
    <phoneticPr fontId="1"/>
  </si>
  <si>
    <t>n-morita@zero-spi.com</t>
    <phoneticPr fontId="1"/>
  </si>
  <si>
    <t>大阪</t>
  </si>
  <si>
    <t>t-matsuyama@zero-spi.com</t>
    <phoneticPr fontId="1"/>
  </si>
  <si>
    <t>k-komura@zero-spi.com</t>
    <phoneticPr fontId="1"/>
  </si>
  <si>
    <t>東京</t>
  </si>
  <si>
    <t>nakabayashi@zero-spi.com</t>
    <phoneticPr fontId="1"/>
  </si>
  <si>
    <t>h-kawai@zero-spi.com</t>
    <phoneticPr fontId="1"/>
  </si>
  <si>
    <t>r-matsukawa@zero-spi.com</t>
    <phoneticPr fontId="1"/>
  </si>
  <si>
    <t>k-oku@zero-spi.com</t>
    <phoneticPr fontId="1"/>
  </si>
  <si>
    <t>y-tomi@zero-spi.com</t>
    <phoneticPr fontId="1"/>
  </si>
  <si>
    <t>y-miyashita@zero-spi.com</t>
    <phoneticPr fontId="1"/>
  </si>
  <si>
    <t>r-koyama@zero-spi.com</t>
    <phoneticPr fontId="1"/>
  </si>
  <si>
    <t>k-hata@zero-spi.com</t>
    <phoneticPr fontId="1"/>
  </si>
  <si>
    <t>k-yamada@zero-spi.com</t>
    <phoneticPr fontId="1"/>
  </si>
  <si>
    <t>入社年月</t>
  </si>
  <si>
    <t>所属</t>
  </si>
  <si>
    <t>年齢</t>
    <rPh sb="0" eb="2">
      <t>ネンレイ</t>
    </rPh>
    <phoneticPr fontId="1"/>
  </si>
  <si>
    <t>元号</t>
    <rPh sb="0" eb="2">
      <t>ゲンゴウ</t>
    </rPh>
    <phoneticPr fontId="1"/>
  </si>
  <si>
    <t>生年月日</t>
  </si>
  <si>
    <t>メールアドレス</t>
    <phoneticPr fontId="1"/>
  </si>
  <si>
    <t>フリガナ</t>
    <phoneticPr fontId="1"/>
  </si>
  <si>
    <t>氏名</t>
  </si>
  <si>
    <t>①「出欠一覧」シートに懇親会の出欠アンケートを貼り付けてください(Formsから取得)。</t>
    <rPh sb="2" eb="4">
      <t>シュッケツ</t>
    </rPh>
    <rPh sb="4" eb="6">
      <t>イチラン</t>
    </rPh>
    <rPh sb="11" eb="13">
      <t>コンシン</t>
    </rPh>
    <rPh sb="13" eb="14">
      <t>カイ</t>
    </rPh>
    <rPh sb="15" eb="17">
      <t>シュッケツ</t>
    </rPh>
    <rPh sb="23" eb="24">
      <t>ハ</t>
    </rPh>
    <rPh sb="25" eb="26">
      <t>ツ</t>
    </rPh>
    <rPh sb="40" eb="42">
      <t>シュトク</t>
    </rPh>
    <phoneticPr fontId="1"/>
  </si>
  <si>
    <t>②ゲスト出席者がいる場合、「社員名簿」シートにゲスト出席者の氏名を入力してください。</t>
    <rPh sb="4" eb="7">
      <t>シュッセキシャ</t>
    </rPh>
    <rPh sb="10" eb="12">
      <t>バアイ</t>
    </rPh>
    <rPh sb="14" eb="16">
      <t>シャイン</t>
    </rPh>
    <rPh sb="16" eb="18">
      <t>メイボ</t>
    </rPh>
    <rPh sb="26" eb="29">
      <t>シュッセキシャ</t>
    </rPh>
    <rPh sb="30" eb="32">
      <t>シメイ</t>
    </rPh>
    <rPh sb="33" eb="35">
      <t>ニュウリョク</t>
    </rPh>
    <phoneticPr fontId="1"/>
  </si>
  <si>
    <t>　また「出欠一覧」シートにゲスト出席者の氏名と出欠："出席"を入力してください。</t>
    <rPh sb="4" eb="6">
      <t>シュッケツ</t>
    </rPh>
    <rPh sb="6" eb="8">
      <t>イチラン</t>
    </rPh>
    <rPh sb="16" eb="19">
      <t>シュッセキシャ</t>
    </rPh>
    <rPh sb="20" eb="22">
      <t>シメイ</t>
    </rPh>
    <rPh sb="23" eb="25">
      <t>シュッケツ</t>
    </rPh>
    <rPh sb="27" eb="29">
      <t>シュッセキ</t>
    </rPh>
    <rPh sb="31" eb="33">
      <t>ニュウリョク</t>
    </rPh>
    <phoneticPr fontId="1"/>
  </si>
  <si>
    <t>・「クリア」を押すと配置表に表示中の情報を削除します。</t>
    <rPh sb="7" eb="8">
      <t>オ</t>
    </rPh>
    <rPh sb="10" eb="12">
      <t>ハイチ</t>
    </rPh>
    <rPh sb="12" eb="13">
      <t>ヒョウ</t>
    </rPh>
    <rPh sb="14" eb="16">
      <t>ヒョウジ</t>
    </rPh>
    <rPh sb="16" eb="17">
      <t>チュウ</t>
    </rPh>
    <rPh sb="18" eb="20">
      <t>ジョウホウ</t>
    </rPh>
    <rPh sb="21" eb="23">
      <t>サクジョ</t>
    </rPh>
    <phoneticPr fontId="1"/>
  </si>
  <si>
    <t>③「幹事グループ」を半角数字で入力してください。</t>
    <rPh sb="2" eb="4">
      <t>カンジ</t>
    </rPh>
    <rPh sb="10" eb="12">
      <t>ハンカク</t>
    </rPh>
    <rPh sb="12" eb="14">
      <t>スウジ</t>
    </rPh>
    <rPh sb="15" eb="17">
      <t>ニュウリョク</t>
    </rPh>
    <phoneticPr fontId="1"/>
  </si>
  <si>
    <t>④「配置表作成」を押すと「配置表」シートに配置表が作成されます。</t>
    <rPh sb="2" eb="4">
      <t>ハイチ</t>
    </rPh>
    <rPh sb="4" eb="5">
      <t>ヒョウ</t>
    </rPh>
    <rPh sb="5" eb="7">
      <t>サクセイ</t>
    </rPh>
    <rPh sb="9" eb="10">
      <t>オ</t>
    </rPh>
    <rPh sb="13" eb="15">
      <t>ハイチ</t>
    </rPh>
    <rPh sb="15" eb="16">
      <t>ヒョウ</t>
    </rPh>
    <rPh sb="21" eb="23">
      <t>ハイチ</t>
    </rPh>
    <rPh sb="23" eb="24">
      <t>ヒョウ</t>
    </rPh>
    <rPh sb="25" eb="27">
      <t>サクセイ</t>
    </rPh>
    <phoneticPr fontId="1"/>
  </si>
  <si>
    <t>・「開催日」を入力してから④を実行すると、配置表に開催日が表示されます(任意)。</t>
    <rPh sb="2" eb="5">
      <t>カイサイビ</t>
    </rPh>
    <rPh sb="7" eb="9">
      <t>ニュウリョク</t>
    </rPh>
    <rPh sb="15" eb="17">
      <t>ジッコウ</t>
    </rPh>
    <rPh sb="21" eb="23">
      <t>ハイチ</t>
    </rPh>
    <rPh sb="23" eb="24">
      <t>ヒョウ</t>
    </rPh>
    <rPh sb="25" eb="28">
      <t>カイサイビ</t>
    </rPh>
    <rPh sb="29" eb="31">
      <t>ヒョウジ</t>
    </rPh>
    <rPh sb="36" eb="38">
      <t>ニンイ</t>
    </rPh>
    <phoneticPr fontId="1"/>
  </si>
  <si>
    <t>社内懇親会配置表</t>
    <rPh sb="0" eb="2">
      <t>シャナイ</t>
    </rPh>
    <rPh sb="2" eb="4">
      <t>コンシン</t>
    </rPh>
    <rPh sb="4" eb="5">
      <t>カイ</t>
    </rPh>
    <rPh sb="5" eb="7">
      <t>ハイチ</t>
    </rPh>
    <rPh sb="7" eb="8">
      <t>ヒョウ</t>
    </rPh>
    <phoneticPr fontId="1"/>
  </si>
  <si>
    <t>出席者氏名</t>
    <rPh sb="0" eb="3">
      <t>シュッセキシャ</t>
    </rPh>
    <rPh sb="3" eb="5">
      <t>シメイ</t>
    </rPh>
    <phoneticPr fontId="1"/>
  </si>
  <si>
    <t>所属グループ</t>
    <rPh sb="0" eb="2">
      <t>ショゾク</t>
    </rPh>
    <phoneticPr fontId="1"/>
  </si>
  <si>
    <t>誕生日</t>
    <rPh sb="0" eb="3">
      <t>タンジョウビ</t>
    </rPh>
    <phoneticPr fontId="1"/>
  </si>
  <si>
    <t>入社年月</t>
    <rPh sb="0" eb="2">
      <t>ニュウシャ</t>
    </rPh>
    <rPh sb="2" eb="4">
      <t>ネンゲツ</t>
    </rPh>
    <phoneticPr fontId="1"/>
  </si>
  <si>
    <t>テーブル番号</t>
    <rPh sb="4" eb="6">
      <t>バンゴウ</t>
    </rPh>
    <phoneticPr fontId="1"/>
  </si>
  <si>
    <t>開催日</t>
    <rPh sb="0" eb="2">
      <t>カイサイ</t>
    </rPh>
    <rPh sb="2" eb="3">
      <t>ヒ</t>
    </rPh>
    <phoneticPr fontId="1"/>
  </si>
  <si>
    <t>開催日(任意)</t>
    <rPh sb="0" eb="2">
      <t>カイサイ</t>
    </rPh>
    <rPh sb="2" eb="3">
      <t>ヒ</t>
    </rPh>
    <rPh sb="4" eb="6">
      <t>ニンイ</t>
    </rPh>
    <phoneticPr fontId="1"/>
  </si>
  <si>
    <t>所属G</t>
    <rPh sb="0" eb="2">
      <t>ショゾク</t>
    </rPh>
    <phoneticPr fontId="1"/>
  </si>
  <si>
    <t>グループごとの人数</t>
    <rPh sb="7" eb="9">
      <t>ニンズウ</t>
    </rPh>
    <phoneticPr fontId="1"/>
  </si>
  <si>
    <t>1G</t>
    <phoneticPr fontId="1"/>
  </si>
  <si>
    <t>2G</t>
    <phoneticPr fontId="1"/>
  </si>
  <si>
    <t>3G</t>
    <phoneticPr fontId="1"/>
  </si>
  <si>
    <t>4G</t>
    <phoneticPr fontId="1"/>
  </si>
  <si>
    <t>テーブルごとの人数</t>
    <rPh sb="7" eb="9">
      <t>ニンズウ</t>
    </rPh>
    <phoneticPr fontId="1"/>
  </si>
  <si>
    <t>1TBL</t>
    <phoneticPr fontId="1"/>
  </si>
  <si>
    <t>2TBL</t>
    <phoneticPr fontId="1"/>
  </si>
  <si>
    <t>3TBL</t>
    <phoneticPr fontId="1"/>
  </si>
  <si>
    <t>4TBL</t>
    <phoneticPr fontId="1"/>
  </si>
  <si>
    <t>5TBL</t>
    <phoneticPr fontId="1"/>
  </si>
  <si>
    <t>6TBL</t>
    <phoneticPr fontId="1"/>
  </si>
  <si>
    <t>7TBL</t>
    <phoneticPr fontId="1"/>
  </si>
  <si>
    <t>8TBL</t>
    <phoneticPr fontId="1"/>
  </si>
  <si>
    <t>9TBL</t>
    <phoneticPr fontId="1"/>
  </si>
  <si>
    <t>10TBL</t>
    <phoneticPr fontId="1"/>
  </si>
  <si>
    <t>11TBL</t>
    <phoneticPr fontId="1"/>
  </si>
  <si>
    <t>12TBL</t>
    <phoneticPr fontId="1"/>
  </si>
  <si>
    <t>13TBL</t>
    <phoneticPr fontId="1"/>
  </si>
  <si>
    <t>14TBL</t>
    <phoneticPr fontId="1"/>
  </si>
  <si>
    <t>15TBL</t>
    <phoneticPr fontId="1"/>
  </si>
  <si>
    <t>16TBL</t>
    <phoneticPr fontId="1"/>
  </si>
  <si>
    <t>17TBL</t>
    <phoneticPr fontId="1"/>
  </si>
  <si>
    <t>18TBL</t>
    <phoneticPr fontId="1"/>
  </si>
  <si>
    <t>19TBL</t>
    <phoneticPr fontId="1"/>
  </si>
  <si>
    <t>20TBL</t>
    <phoneticPr fontId="1"/>
  </si>
  <si>
    <t>幹事グループ(必須)</t>
    <rPh sb="0" eb="2">
      <t>カンジ</t>
    </rPh>
    <rPh sb="7" eb="9">
      <t>ヒッス</t>
    </rPh>
    <phoneticPr fontId="1"/>
  </si>
  <si>
    <t>入社順</t>
    <rPh sb="0" eb="2">
      <t>ニュウシャ</t>
    </rPh>
    <rPh sb="2" eb="3">
      <t>ジュン</t>
    </rPh>
    <phoneticPr fontId="1"/>
  </si>
  <si>
    <t>コピー用</t>
    <rPh sb="3" eb="4">
      <t>ヨウ</t>
    </rPh>
    <phoneticPr fontId="1"/>
  </si>
  <si>
    <t>21TBL</t>
    <phoneticPr fontId="1"/>
  </si>
  <si>
    <t>22TBL</t>
    <phoneticPr fontId="1"/>
  </si>
  <si>
    <t>23TBL</t>
    <phoneticPr fontId="1"/>
  </si>
  <si>
    <t>24TBL</t>
    <phoneticPr fontId="1"/>
  </si>
  <si>
    <t>25TBL</t>
    <phoneticPr fontId="1"/>
  </si>
  <si>
    <t>ゲスト　4</t>
  </si>
  <si>
    <t>ゲスト　5</t>
  </si>
  <si>
    <t>ゲスト　6</t>
  </si>
  <si>
    <t>ゲスト　7</t>
  </si>
  <si>
    <t>ゲスト　8</t>
  </si>
  <si>
    <t>ゲスト　9</t>
  </si>
  <si>
    <t>ゲスト　10</t>
  </si>
  <si>
    <t>ゲスト　11</t>
  </si>
  <si>
    <t>ゲスト　12</t>
  </si>
  <si>
    <t>ゲスト　13</t>
  </si>
  <si>
    <t>ゲスト　14</t>
  </si>
  <si>
    <t>ゲスト　15</t>
  </si>
  <si>
    <t>ゲスト　16</t>
  </si>
  <si>
    <t>ゲスト　17</t>
  </si>
  <si>
    <t>ゲスト　18</t>
  </si>
  <si>
    <t>ゲスト　19</t>
  </si>
  <si>
    <t>ゲスト　20</t>
  </si>
  <si>
    <t>ゲスト　21</t>
  </si>
  <si>
    <t>ゲスト　22</t>
  </si>
  <si>
    <t>ゲスト　23</t>
  </si>
  <si>
    <t>ゲスト　24</t>
  </si>
  <si>
    <t>ゲスト　25</t>
  </si>
  <si>
    <t>ゲスト　26</t>
  </si>
  <si>
    <t>ゲスト　27</t>
  </si>
  <si>
    <t>ゲスト　28</t>
  </si>
  <si>
    <t>ゲスト　29</t>
  </si>
  <si>
    <t>ゲスト　30</t>
  </si>
  <si>
    <t>ゲスト　31</t>
  </si>
  <si>
    <t>ゲスト　32</t>
  </si>
  <si>
    <t>ゲスト　33</t>
  </si>
  <si>
    <t>ゲスト　34</t>
  </si>
  <si>
    <t>ゲスト　35</t>
  </si>
  <si>
    <t>ゲスト　36</t>
  </si>
  <si>
    <t>ゲスト　37</t>
  </si>
  <si>
    <t>ゲスト　38</t>
  </si>
  <si>
    <t>ゲスト　39</t>
  </si>
  <si>
    <t>ゲスト　40</t>
  </si>
  <si>
    <t>ゲスト　41</t>
  </si>
  <si>
    <t>ゲスト　42</t>
  </si>
  <si>
    <t>ゲスト　43</t>
  </si>
  <si>
    <t>ゲスト　44</t>
  </si>
  <si>
    <t>ゲスト　45</t>
  </si>
  <si>
    <t>ゲスト　46</t>
  </si>
  <si>
    <t>ゲスト　47</t>
  </si>
  <si>
    <t>ゲスト　48</t>
  </si>
  <si>
    <t>ゲスト　49</t>
  </si>
  <si>
    <t>ゲスト　50</t>
  </si>
  <si>
    <t>ゲスト　51</t>
  </si>
  <si>
    <t>ゲスト　52</t>
  </si>
  <si>
    <t>ゲスト　53</t>
  </si>
  <si>
    <t>ゲスト　54</t>
  </si>
  <si>
    <t>ゲスト　55</t>
  </si>
  <si>
    <t>ゲスト　56</t>
  </si>
  <si>
    <t>ゲスト　57</t>
  </si>
  <si>
    <t>ゲスト　58</t>
  </si>
  <si>
    <t>ゲスト　59</t>
  </si>
  <si>
    <t>ゲスト　60</t>
  </si>
  <si>
    <t>ゲスト　61</t>
  </si>
  <si>
    <t>ゲスト　62</t>
  </si>
  <si>
    <t>ゲスト　63</t>
  </si>
  <si>
    <t>ゲスト　64</t>
  </si>
  <si>
    <t>ゲスト　65</t>
  </si>
  <si>
    <t>ゲスト　66</t>
  </si>
  <si>
    <t>ゲスト　67</t>
  </si>
  <si>
    <t>ゲスト　68</t>
  </si>
  <si>
    <t>ゲスト　69</t>
  </si>
  <si>
    <t>ゲスト　70</t>
  </si>
  <si>
    <t>c@test.com</t>
  </si>
  <si>
    <t>d@test.com</t>
  </si>
  <si>
    <t>e@test.com</t>
  </si>
  <si>
    <t>f@test.com</t>
  </si>
  <si>
    <t>g@test.com</t>
  </si>
  <si>
    <t>h@test.com</t>
  </si>
  <si>
    <t>i@test.com</t>
  </si>
  <si>
    <t>j@test.com</t>
  </si>
  <si>
    <t>k@test.com</t>
  </si>
  <si>
    <t>l@test.com</t>
  </si>
  <si>
    <t>m@test.com</t>
  </si>
  <si>
    <t>n@test.com</t>
  </si>
  <si>
    <t>o@test.com</t>
  </si>
  <si>
    <t>p@test.com</t>
  </si>
  <si>
    <t>q@test.com</t>
  </si>
  <si>
    <t>r@test.com</t>
  </si>
  <si>
    <t>s@test.com</t>
  </si>
  <si>
    <t>t@test.com</t>
  </si>
  <si>
    <t>u@test.com</t>
  </si>
  <si>
    <t>v@test.com</t>
  </si>
  <si>
    <t>w@test.com</t>
  </si>
  <si>
    <t>x@test.com</t>
  </si>
  <si>
    <t>y@test.com</t>
  </si>
  <si>
    <t>z@test.com</t>
  </si>
  <si>
    <t>社員　1</t>
    <rPh sb="0" eb="2">
      <t>シャイン</t>
    </rPh>
    <phoneticPr fontId="1"/>
  </si>
  <si>
    <t>社員　2</t>
    <rPh sb="0" eb="2">
      <t>シャイン</t>
    </rPh>
    <phoneticPr fontId="1"/>
  </si>
  <si>
    <t>社員　3</t>
    <rPh sb="0" eb="2">
      <t>シャイン</t>
    </rPh>
    <phoneticPr fontId="1"/>
  </si>
  <si>
    <t>社員　4</t>
    <rPh sb="0" eb="2">
      <t>シャイン</t>
    </rPh>
    <phoneticPr fontId="1"/>
  </si>
  <si>
    <t>社員　5</t>
    <rPh sb="0" eb="2">
      <t>シャイン</t>
    </rPh>
    <phoneticPr fontId="1"/>
  </si>
  <si>
    <t>社員　6</t>
    <rPh sb="0" eb="2">
      <t>シャイン</t>
    </rPh>
    <phoneticPr fontId="1"/>
  </si>
  <si>
    <t>社員　7</t>
    <rPh sb="0" eb="2">
      <t>シャイン</t>
    </rPh>
    <phoneticPr fontId="1"/>
  </si>
  <si>
    <t>社員　8</t>
    <rPh sb="0" eb="2">
      <t>シャイン</t>
    </rPh>
    <phoneticPr fontId="1"/>
  </si>
  <si>
    <t>社員　9</t>
    <rPh sb="0" eb="2">
      <t>シャイン</t>
    </rPh>
    <phoneticPr fontId="1"/>
  </si>
  <si>
    <t>社員　10</t>
    <rPh sb="0" eb="2">
      <t>シャイン</t>
    </rPh>
    <phoneticPr fontId="1"/>
  </si>
  <si>
    <t>社員　11</t>
    <rPh sb="0" eb="2">
      <t>シャイン</t>
    </rPh>
    <phoneticPr fontId="1"/>
  </si>
  <si>
    <t>社員　12</t>
    <rPh sb="0" eb="2">
      <t>シャイン</t>
    </rPh>
    <phoneticPr fontId="1"/>
  </si>
  <si>
    <t>社員　13</t>
    <rPh sb="0" eb="2">
      <t>シャイン</t>
    </rPh>
    <phoneticPr fontId="1"/>
  </si>
  <si>
    <t>社員　14</t>
    <rPh sb="0" eb="2">
      <t>シャイン</t>
    </rPh>
    <phoneticPr fontId="1"/>
  </si>
  <si>
    <t>社員　15</t>
    <rPh sb="0" eb="2">
      <t>シャイン</t>
    </rPh>
    <phoneticPr fontId="1"/>
  </si>
  <si>
    <t>社員　16</t>
    <rPh sb="0" eb="2">
      <t>シャイン</t>
    </rPh>
    <phoneticPr fontId="1"/>
  </si>
  <si>
    <t>社員　17</t>
    <rPh sb="0" eb="2">
      <t>シャイン</t>
    </rPh>
    <phoneticPr fontId="1"/>
  </si>
  <si>
    <t>社員　18</t>
    <rPh sb="0" eb="2">
      <t>シャイン</t>
    </rPh>
    <phoneticPr fontId="1"/>
  </si>
  <si>
    <t>社員　19</t>
    <rPh sb="0" eb="2">
      <t>シャイン</t>
    </rPh>
    <phoneticPr fontId="1"/>
  </si>
  <si>
    <t>社員　20</t>
    <rPh sb="0" eb="2">
      <t>シャイン</t>
    </rPh>
    <phoneticPr fontId="1"/>
  </si>
  <si>
    <t>社員　21</t>
    <rPh sb="0" eb="2">
      <t>シャイン</t>
    </rPh>
    <phoneticPr fontId="1"/>
  </si>
  <si>
    <t>社員　22</t>
    <rPh sb="0" eb="2">
      <t>シャイン</t>
    </rPh>
    <phoneticPr fontId="1"/>
  </si>
  <si>
    <t>社員　23</t>
    <rPh sb="0" eb="2">
      <t>シャイン</t>
    </rPh>
    <phoneticPr fontId="1"/>
  </si>
  <si>
    <t>社員　24</t>
    <rPh sb="0" eb="2">
      <t>シャイン</t>
    </rPh>
    <phoneticPr fontId="1"/>
  </si>
  <si>
    <t>社員　25</t>
    <rPh sb="0" eb="2">
      <t>シャイン</t>
    </rPh>
    <phoneticPr fontId="1"/>
  </si>
  <si>
    <t>社員　26</t>
    <rPh sb="0" eb="2">
      <t>シャイン</t>
    </rPh>
    <phoneticPr fontId="1"/>
  </si>
  <si>
    <t>社員　27</t>
    <rPh sb="0" eb="2">
      <t>シャイン</t>
    </rPh>
    <phoneticPr fontId="1"/>
  </si>
  <si>
    <t>社員　28</t>
    <rPh sb="0" eb="2">
      <t>シャイン</t>
    </rPh>
    <phoneticPr fontId="1"/>
  </si>
  <si>
    <t>社員　29</t>
    <rPh sb="0" eb="2">
      <t>シャイン</t>
    </rPh>
    <phoneticPr fontId="1"/>
  </si>
  <si>
    <t>ゲスト　1</t>
    <phoneticPr fontId="1"/>
  </si>
  <si>
    <t>ゲスト　2</t>
    <phoneticPr fontId="1"/>
  </si>
  <si>
    <t>ゲスト　3</t>
    <phoneticPr fontId="1"/>
  </si>
  <si>
    <t>aa@test.com</t>
    <phoneticPr fontId="1"/>
  </si>
  <si>
    <t>bb@test.com</t>
    <phoneticPr fontId="1"/>
  </si>
  <si>
    <t>cc@test.com</t>
    <phoneticPr fontId="1"/>
  </si>
  <si>
    <t>dd@test.com</t>
    <phoneticPr fontId="1"/>
  </si>
  <si>
    <t>a@test.com</t>
    <phoneticPr fontId="1"/>
  </si>
  <si>
    <t>b@test.com</t>
    <phoneticPr fontId="1"/>
  </si>
  <si>
    <t>出欠：「出席」or「欠席」</t>
    <phoneticPr fontId="1"/>
  </si>
  <si>
    <t>社員　30</t>
    <rPh sb="0" eb="2">
      <t>シャイン</t>
    </rPh>
    <phoneticPr fontId="1"/>
  </si>
  <si>
    <t>シャイン　ア</t>
  </si>
  <si>
    <t>シャイン　イ</t>
  </si>
  <si>
    <t>シャイン　ウ</t>
  </si>
  <si>
    <t>シャイン　エ</t>
  </si>
  <si>
    <t>シャイン　オ</t>
  </si>
  <si>
    <t>シャイン　カ</t>
  </si>
  <si>
    <t>シャイン　キ</t>
  </si>
  <si>
    <t>シャイン　ク</t>
  </si>
  <si>
    <t>シャイン　ケ</t>
  </si>
  <si>
    <t>シャイン　コ</t>
  </si>
  <si>
    <t>シャイン　サ</t>
  </si>
  <si>
    <t>シャイン　シ</t>
  </si>
  <si>
    <t>シャイン　ス</t>
  </si>
  <si>
    <t>シャイン　セ</t>
  </si>
  <si>
    <t>シャイン　ソ</t>
  </si>
  <si>
    <t>シャイン　タ</t>
  </si>
  <si>
    <t>シャイン　チ</t>
  </si>
  <si>
    <t>シャイン　ツ</t>
  </si>
  <si>
    <t>シャイン　テ</t>
  </si>
  <si>
    <t>シャイン　ト</t>
  </si>
  <si>
    <t>シャイン　ナ</t>
  </si>
  <si>
    <t>シャイン　ニ</t>
  </si>
  <si>
    <t>シャイン　ヌ</t>
  </si>
  <si>
    <t>シャイン　ネ</t>
  </si>
  <si>
    <t>シャイン　ノ</t>
  </si>
  <si>
    <t>シャイン　ハ</t>
  </si>
  <si>
    <t>シャイン　ヒ</t>
  </si>
  <si>
    <t>シャイン　フ</t>
  </si>
  <si>
    <t>シャイン　ヘ</t>
  </si>
  <si>
    <t>シャイン　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</si>
</sst>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/d/yy\ h:mm:ss"/>
    <numFmt numFmtId="177" formatCode="General&quot;名&quot;"/>
    <numFmt numFmtId="178" formatCode="yyyy/mm"/>
    <numFmt numFmtId="179" formatCode="[$-411]ggee;@"/>
    <numFmt numFmtId="180" formatCode="yyyy/mm/dd;@"/>
  </numFmts>
  <fonts count="1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MS UI Gothic"/>
      <family val="3"/>
      <charset val="128"/>
    </font>
    <font>
      <sz val="8"/>
      <color theme="1"/>
      <name val="MS UI Gothic"/>
      <family val="3"/>
      <charset val="128"/>
    </font>
    <font>
      <sz val="9"/>
      <name val="MS UI Gothic"/>
      <family val="3"/>
      <charset val="128"/>
    </font>
    <font>
      <sz val="8"/>
      <name val="MS UI Gothic"/>
      <family val="3"/>
      <charset val="128"/>
    </font>
    <font>
      <sz val="8"/>
      <color rgb="FF000000"/>
      <name val="MS UI Gothic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2"/>
      <color theme="1"/>
      <name val="メイリオ"/>
      <family val="3"/>
      <charset val="128"/>
    </font>
    <font>
      <sz val="10"/>
      <color theme="1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55">
    <xf numFmtId="0" fontId="0" fillId="0" borderId="0" xfId="0">
      <alignment vertical="center"/>
    </xf>
    <xf numFmtId="0" fontId="2" fillId="0" borderId="0" xfId="1" applyNumberFormat="1"/>
    <xf numFmtId="0" fontId="2" fillId="0" borderId="0" xfId="1"/>
    <xf numFmtId="176" fontId="2" fillId="0" borderId="0" xfId="1" applyNumberFormat="1"/>
    <xf numFmtId="0" fontId="3" fillId="0" borderId="0" xfId="0" applyFont="1">
      <alignment vertical="center"/>
    </xf>
    <xf numFmtId="0" fontId="4" fillId="0" borderId="0" xfId="0" applyFont="1">
      <alignment vertical="center"/>
    </xf>
    <xf numFmtId="177" fontId="5" fillId="0" borderId="1" xfId="0" applyNumberFormat="1" applyFont="1" applyBorder="1" applyAlignment="1">
      <alignment horizontal="right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3" fillId="0" borderId="0" xfId="0" applyFont="1" applyAlignment="1">
      <alignment vertical="center" shrinkToFit="1"/>
    </xf>
    <xf numFmtId="178" fontId="6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80" fontId="6" fillId="0" borderId="1" xfId="0" applyNumberFormat="1" applyFont="1" applyBorder="1" applyAlignment="1">
      <alignment horizontal="center" vertical="center" wrapText="1"/>
    </xf>
    <xf numFmtId="178" fontId="7" fillId="0" borderId="1" xfId="0" applyNumberFormat="1" applyFont="1" applyBorder="1" applyAlignment="1">
      <alignment horizontal="center" vertical="center" wrapText="1" readingOrder="1"/>
    </xf>
    <xf numFmtId="0" fontId="7" fillId="0" borderId="1" xfId="0" applyFont="1" applyBorder="1" applyAlignment="1">
      <alignment horizontal="center" vertical="center" wrapText="1" readingOrder="1"/>
    </xf>
    <xf numFmtId="179" fontId="7" fillId="0" borderId="1" xfId="0" applyNumberFormat="1" applyFont="1" applyBorder="1" applyAlignment="1">
      <alignment horizontal="center" vertical="center" wrapText="1" readingOrder="1"/>
    </xf>
    <xf numFmtId="0" fontId="8" fillId="0" borderId="1" xfId="0" quotePrefix="1" applyFont="1" applyBorder="1">
      <alignment vertical="center"/>
    </xf>
    <xf numFmtId="0" fontId="6" fillId="0" borderId="1" xfId="0" applyFont="1" applyBorder="1" applyAlignment="1">
      <alignment horizontal="center" vertical="center" wrapText="1" readingOrder="1"/>
    </xf>
    <xf numFmtId="0" fontId="8" fillId="0" borderId="1" xfId="0" applyFont="1" applyBorder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180" fontId="7" fillId="0" borderId="1" xfId="0" applyNumberFormat="1" applyFont="1" applyBorder="1" applyAlignment="1">
      <alignment horizontal="center" vertical="center" wrapText="1" readingOrder="1"/>
    </xf>
    <xf numFmtId="0" fontId="7" fillId="3" borderId="1" xfId="0" applyFont="1" applyFill="1" applyBorder="1" applyAlignment="1">
      <alignment horizontal="center" vertical="center" wrapText="1" readingOrder="1"/>
    </xf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180" fontId="6" fillId="0" borderId="0" xfId="0" applyNumberFormat="1" applyFont="1" applyBorder="1" applyAlignment="1">
      <alignment horizontal="center" vertical="center" wrapText="1"/>
    </xf>
    <xf numFmtId="179" fontId="6" fillId="0" borderId="0" xfId="0" applyNumberFormat="1" applyFont="1" applyBorder="1" applyAlignment="1">
      <alignment horizontal="center" vertical="center" wrapText="1"/>
    </xf>
    <xf numFmtId="178" fontId="6" fillId="0" borderId="0" xfId="0" applyNumberFormat="1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11" fillId="0" borderId="0" xfId="0" applyFont="1">
      <alignment vertical="center"/>
    </xf>
    <xf numFmtId="0" fontId="0" fillId="5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3" fillId="0" borderId="0" xfId="0" applyNumberFormat="1" applyFont="1" applyAlignment="1"/>
    <xf numFmtId="0" fontId="14" fillId="0" borderId="0" xfId="0" applyFont="1">
      <alignment vertical="center"/>
    </xf>
    <xf numFmtId="0" fontId="15" fillId="0" borderId="0" xfId="0" applyNumberFormat="1" applyFont="1" applyAlignment="1"/>
    <xf numFmtId="0" fontId="14" fillId="0" borderId="0" xfId="0" applyNumberFormat="1" applyFont="1" applyAlignment="1"/>
    <xf numFmtId="0" fontId="14" fillId="0" borderId="0" xfId="0" applyFont="1" applyAlignment="1"/>
    <xf numFmtId="176" fontId="15" fillId="0" borderId="0" xfId="0" applyNumberFormat="1" applyFont="1" applyAlignment="1">
      <alignment horizontal="left"/>
    </xf>
    <xf numFmtId="0" fontId="14" fillId="0" borderId="0" xfId="0" applyNumberFormat="1" applyFont="1" applyAlignment="1">
      <alignment horizontal="left"/>
    </xf>
    <xf numFmtId="0" fontId="15" fillId="0" borderId="0" xfId="0" applyNumberFormat="1" applyFont="1" applyAlignment="1">
      <alignment horizontal="center"/>
    </xf>
    <xf numFmtId="0" fontId="14" fillId="0" borderId="0" xfId="0" applyNumberFormat="1" applyFont="1" applyAlignment="1">
      <alignment horizontal="center"/>
    </xf>
    <xf numFmtId="0" fontId="14" fillId="0" borderId="0" xfId="0" applyNumberFormat="1" applyFont="1" applyAlignment="1">
      <alignment horizontal="right"/>
    </xf>
    <xf numFmtId="14" fontId="14" fillId="0" borderId="1" xfId="0" applyNumberFormat="1" applyFont="1" applyBorder="1" applyAlignment="1">
      <alignment horizontal="center"/>
    </xf>
    <xf numFmtId="176" fontId="14" fillId="0" borderId="0" xfId="0" applyNumberFormat="1" applyFont="1" applyAlignment="1"/>
    <xf numFmtId="0" fontId="14" fillId="0" borderId="0" xfId="0" applyFont="1" applyBorder="1">
      <alignment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56" fontId="14" fillId="4" borderId="1" xfId="0" applyNumberFormat="1" applyFont="1" applyFill="1" applyBorder="1" applyAlignment="1">
      <alignment horizontal="center" vertical="center"/>
    </xf>
    <xf numFmtId="55" fontId="14" fillId="4" borderId="1" xfId="0" applyNumberFormat="1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14" fontId="14" fillId="0" borderId="0" xfId="0" applyNumberFormat="1" applyFont="1">
      <alignment vertical="center"/>
    </xf>
    <xf numFmtId="0" fontId="0" fillId="0" borderId="0" xfId="0" applyFill="1">
      <alignment vertical="center"/>
    </xf>
  </cellXfs>
  <cellStyles count="2">
    <cellStyle name="標準" xfId="0" builtinId="0"/>
    <cellStyle name="標準 2" xfId="1" xr:uid="{00000000-0005-0000-0000-000001000000}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176" formatCode="m/d/yy\ h:mm:ss"/>
    </dxf>
    <dxf>
      <numFmt numFmtId="176" formatCode="m/d/yy\ h:mm:ss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3</xdr:row>
          <xdr:rowOff>142875</xdr:rowOff>
        </xdr:from>
        <xdr:to>
          <xdr:col>3</xdr:col>
          <xdr:colOff>285750</xdr:colOff>
          <xdr:row>6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配置表作成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5</xdr:col>
          <xdr:colOff>561975</xdr:colOff>
          <xdr:row>6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</xdr:row>
          <xdr:rowOff>95250</xdr:rowOff>
        </xdr:from>
        <xdr:to>
          <xdr:col>10</xdr:col>
          <xdr:colOff>561975</xdr:colOff>
          <xdr:row>3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PDF出力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259080</xdr:colOff>
      <xdr:row>1</xdr:row>
      <xdr:rowOff>38100</xdr:rowOff>
    </xdr:from>
    <xdr:to>
      <xdr:col>14</xdr:col>
      <xdr:colOff>541020</xdr:colOff>
      <xdr:row>4</xdr:row>
      <xdr:rowOff>144780</xdr:rowOff>
    </xdr:to>
    <xdr:sp macro="" textlink="">
      <xdr:nvSpPr>
        <xdr:cNvPr id="2" name="四角形吹き出し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968740" y="205740"/>
          <a:ext cx="2720340" cy="609600"/>
        </a:xfrm>
        <a:prstGeom prst="wedgeRectCallout">
          <a:avLst>
            <a:gd name="adj1" fmla="val -59666"/>
            <a:gd name="adj2" fmla="val -9639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テーブル番号設定向けに所属</a:t>
          </a:r>
          <a:r>
            <a:rPr kumimoji="1" lang="en-US" altLang="ja-JP" sz="1100"/>
            <a:t>G</a:t>
          </a:r>
          <a:r>
            <a:rPr kumimoji="1" lang="ja-JP" altLang="en-US" sz="1100"/>
            <a:t>、</a:t>
          </a:r>
          <a:endParaRPr kumimoji="1" lang="en-US" altLang="ja-JP" sz="1100"/>
        </a:p>
        <a:p>
          <a:pPr algn="l"/>
          <a:r>
            <a:rPr kumimoji="1" lang="ja-JP" altLang="en-US" sz="1100"/>
            <a:t>ソート向けに入社順を記載しています</a:t>
          </a:r>
          <a:endParaRPr kumimoji="1" lang="en-US" altLang="ja-JP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01" totalsRowShown="0">
  <autoFilter ref="A1:F101" xr:uid="{00000000-0009-0000-0100-000001000000}"/>
  <tableColumns count="6">
    <tableColumn id="1" xr3:uid="{00000000-0010-0000-0000-000001000000}" name="ID" dataDxfId="5"/>
    <tableColumn id="2" xr3:uid="{00000000-0010-0000-0000-000002000000}" name="開始時刻" dataDxfId="4"/>
    <tableColumn id="3" xr3:uid="{00000000-0010-0000-0000-000003000000}" name="完了時刻" dataDxfId="3"/>
    <tableColumn id="4" xr3:uid="{00000000-0010-0000-0000-000004000000}" name="メール" dataDxfId="2"/>
    <tableColumn id="5" xr3:uid="{00000000-0010-0000-0000-000005000000}" name="名前" dataDxfId="1"/>
    <tableColumn id="6" xr3:uid="{00000000-0010-0000-0000-000006000000}" name="出欠：「出席」or「欠席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m-takeuchi@zero-spi.com" TargetMode="External"/><Relationship Id="rId1" Type="http://schemas.openxmlformats.org/officeDocument/2006/relationships/hyperlink" Target="mailto:y-kimura@zero-spi.com" TargetMode="Externa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I17"/>
  <sheetViews>
    <sheetView showGridLines="0" tabSelected="1" view="pageBreakPreview" zoomScale="115" zoomScaleNormal="100" zoomScaleSheetLayoutView="115" workbookViewId="0"/>
  </sheetViews>
  <sheetFormatPr defaultRowHeight="13.5" x14ac:dyDescent="0.15"/>
  <cols>
    <col min="1" max="1" width="3.75" customWidth="1"/>
    <col min="8" max="9" width="20.75" customWidth="1"/>
    <col min="10" max="10" width="3.75" customWidth="1"/>
  </cols>
  <sheetData>
    <row r="2" spans="2:9" x14ac:dyDescent="0.15">
      <c r="B2" s="28" t="s">
        <v>0</v>
      </c>
    </row>
    <row r="4" spans="2:9" x14ac:dyDescent="0.15">
      <c r="H4" s="32" t="s">
        <v>100</v>
      </c>
      <c r="I4" s="32" t="s">
        <v>72</v>
      </c>
    </row>
    <row r="5" spans="2:9" x14ac:dyDescent="0.15">
      <c r="H5" s="30"/>
      <c r="I5" s="31"/>
    </row>
    <row r="9" spans="2:9" x14ac:dyDescent="0.15">
      <c r="B9" t="s">
        <v>1</v>
      </c>
    </row>
    <row r="10" spans="2:9" x14ac:dyDescent="0.15">
      <c r="B10" t="s">
        <v>58</v>
      </c>
    </row>
    <row r="11" spans="2:9" x14ac:dyDescent="0.15">
      <c r="B11" t="s">
        <v>59</v>
      </c>
    </row>
    <row r="12" spans="2:9" x14ac:dyDescent="0.15">
      <c r="B12" t="s">
        <v>60</v>
      </c>
    </row>
    <row r="13" spans="2:9" x14ac:dyDescent="0.15">
      <c r="B13" t="s">
        <v>62</v>
      </c>
    </row>
    <row r="14" spans="2:9" x14ac:dyDescent="0.15">
      <c r="B14" t="s">
        <v>63</v>
      </c>
    </row>
    <row r="16" spans="2:9" x14ac:dyDescent="0.15">
      <c r="B16" t="s">
        <v>64</v>
      </c>
    </row>
    <row r="17" spans="2:2" x14ac:dyDescent="0.15">
      <c r="B17" t="s">
        <v>61</v>
      </c>
    </row>
  </sheetData>
  <phoneticPr fontId="1"/>
  <dataValidations count="1">
    <dataValidation type="list" allowBlank="1" showInputMessage="1" showErrorMessage="1" sqref="H5" xr:uid="{00000000-0002-0000-0000-000000000000}">
      <formula1>"1,2,3,4"</formula1>
    </dataValidation>
  </dataValidations>
  <pageMargins left="0.7" right="0.7" top="0.75" bottom="0.75" header="0.3" footer="0.3"/>
  <pageSetup paperSize="9" scale="86" fitToHeight="0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配置表作成">
                <anchor moveWithCells="1" sizeWithCells="1">
                  <from>
                    <xdr:col>1</xdr:col>
                    <xdr:colOff>304800</xdr:colOff>
                    <xdr:row>3</xdr:row>
                    <xdr:rowOff>142875</xdr:rowOff>
                  </from>
                  <to>
                    <xdr:col>3</xdr:col>
                    <xdr:colOff>285750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クリア">
                <anchor moveWithCells="1">
                  <from>
                    <xdr:col>4</xdr:col>
                    <xdr:colOff>19050</xdr:colOff>
                    <xdr:row>3</xdr:row>
                    <xdr:rowOff>133350</xdr:rowOff>
                  </from>
                  <to>
                    <xdr:col>5</xdr:col>
                    <xdr:colOff>561975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S106"/>
  <sheetViews>
    <sheetView view="pageBreakPreview" zoomScale="85" zoomScaleNormal="100" zoomScaleSheetLayoutView="85" workbookViewId="0"/>
  </sheetViews>
  <sheetFormatPr defaultColWidth="8.875" defaultRowHeight="16.5" x14ac:dyDescent="0.15"/>
  <cols>
    <col min="1" max="1" width="3.75" style="34" customWidth="1"/>
    <col min="2" max="2" width="10.75" style="34" customWidth="1"/>
    <col min="3" max="3" width="30.875" style="34" customWidth="1"/>
    <col min="4" max="7" width="15.75" style="34" customWidth="1"/>
    <col min="8" max="8" width="3.75" style="34" customWidth="1"/>
    <col min="9" max="16384" width="8.875" style="34"/>
  </cols>
  <sheetData>
    <row r="1" spans="1:19" ht="19.5" x14ac:dyDescent="0.45">
      <c r="A1" s="53"/>
      <c r="C1" s="35"/>
      <c r="D1" s="33" t="s">
        <v>65</v>
      </c>
      <c r="E1" s="35"/>
      <c r="F1" s="36"/>
      <c r="G1" s="36"/>
    </row>
    <row r="2" spans="1:19" x14ac:dyDescent="0.4">
      <c r="B2" s="37"/>
      <c r="C2" s="38"/>
      <c r="D2" s="39"/>
      <c r="E2" s="40"/>
      <c r="G2" s="41" t="s">
        <v>71</v>
      </c>
    </row>
    <row r="3" spans="1:19" x14ac:dyDescent="0.4">
      <c r="B3" s="37"/>
      <c r="C3" s="38"/>
      <c r="D3" s="39"/>
      <c r="E3" s="40"/>
      <c r="F3" s="42"/>
      <c r="G3" s="43"/>
    </row>
    <row r="4" spans="1:19" x14ac:dyDescent="0.4">
      <c r="B4" s="37"/>
      <c r="C4" s="44"/>
      <c r="D4" s="44"/>
      <c r="E4" s="36"/>
      <c r="F4" s="36"/>
    </row>
    <row r="5" spans="1:19" x14ac:dyDescent="0.15">
      <c r="A5" s="45"/>
      <c r="B5" s="49" t="s">
        <v>101</v>
      </c>
      <c r="C5" s="49" t="s">
        <v>66</v>
      </c>
      <c r="D5" s="49" t="s">
        <v>67</v>
      </c>
      <c r="E5" s="50" t="s">
        <v>68</v>
      </c>
      <c r="F5" s="51" t="s">
        <v>69</v>
      </c>
      <c r="G5" s="52" t="s">
        <v>70</v>
      </c>
      <c r="H5" s="45"/>
    </row>
    <row r="6" spans="1:19" x14ac:dyDescent="0.15">
      <c r="A6"/>
      <c r="B6"/>
      <c r="C6"/>
      <c r="D6"/>
      <c r="E6"/>
      <c r="F6"/>
      <c r="G6"/>
      <c r="H6" s="46"/>
      <c r="J6" s="34" t="s">
        <v>74</v>
      </c>
    </row>
    <row r="7" spans="1:19" x14ac:dyDescent="0.15">
      <c r="A7"/>
      <c r="B7"/>
      <c r="C7"/>
      <c r="D7"/>
      <c r="E7"/>
      <c r="F7"/>
      <c r="G7"/>
      <c r="H7" s="46"/>
      <c r="J7" s="47" t="s">
        <v>75</v>
      </c>
      <c r="K7" s="47" t="s">
        <v>76</v>
      </c>
      <c r="L7" s="47" t="s">
        <v>77</v>
      </c>
      <c r="M7" s="47" t="s">
        <v>78</v>
      </c>
    </row>
    <row r="8" spans="1:19" x14ac:dyDescent="0.15">
      <c r="A8"/>
      <c r="B8"/>
      <c r="C8"/>
      <c r="D8"/>
      <c r="E8"/>
      <c r="F8"/>
      <c r="G8"/>
      <c r="H8" s="46"/>
      <c r="J8" s="47">
        <f>COUNTIF(D6:D106, 1)</f>
        <v>0</v>
      </c>
      <c r="K8" s="47">
        <f>COUNTIF(D6:D106, 2)</f>
        <v>0</v>
      </c>
      <c r="L8" s="47">
        <f>COUNTIF(D6:D106, 3)</f>
        <v>0</v>
      </c>
      <c r="M8" s="47">
        <f>COUNTIF(D6:D106, 4)</f>
        <v>0</v>
      </c>
    </row>
    <row r="9" spans="1:19" x14ac:dyDescent="0.15">
      <c r="A9"/>
      <c r="B9"/>
      <c r="C9"/>
      <c r="D9"/>
      <c r="E9"/>
      <c r="F9"/>
      <c r="G9"/>
      <c r="H9" s="46"/>
    </row>
    <row r="10" spans="1:19" x14ac:dyDescent="0.15">
      <c r="A10"/>
      <c r="B10"/>
      <c r="C10"/>
      <c r="D10"/>
      <c r="E10"/>
      <c r="F10"/>
      <c r="G10"/>
      <c r="H10" s="46"/>
      <c r="J10" s="34" t="s">
        <v>79</v>
      </c>
    </row>
    <row r="11" spans="1:19" x14ac:dyDescent="0.15">
      <c r="A11"/>
      <c r="B11"/>
      <c r="C11"/>
      <c r="D11"/>
      <c r="E11"/>
      <c r="F11"/>
      <c r="G11"/>
      <c r="H11" s="46"/>
      <c r="J11" s="47" t="s">
        <v>80</v>
      </c>
      <c r="K11" s="47" t="s">
        <v>81</v>
      </c>
      <c r="L11" s="47" t="s">
        <v>82</v>
      </c>
      <c r="M11" s="47" t="s">
        <v>83</v>
      </c>
      <c r="N11" s="47" t="s">
        <v>84</v>
      </c>
      <c r="O11" s="47" t="s">
        <v>85</v>
      </c>
      <c r="P11" s="47" t="s">
        <v>86</v>
      </c>
      <c r="Q11" s="47" t="s">
        <v>87</v>
      </c>
      <c r="R11" s="47" t="s">
        <v>88</v>
      </c>
      <c r="S11" s="47" t="s">
        <v>89</v>
      </c>
    </row>
    <row r="12" spans="1:19" x14ac:dyDescent="0.15">
      <c r="A12"/>
      <c r="B12"/>
      <c r="C12"/>
      <c r="D12"/>
      <c r="E12"/>
      <c r="F12"/>
      <c r="G12"/>
      <c r="H12" s="46"/>
      <c r="J12" s="47">
        <f>COUNTIF(G6:G106, 1)</f>
        <v>0</v>
      </c>
      <c r="K12" s="47">
        <f>COUNTIF(G6:G106, 2)</f>
        <v>0</v>
      </c>
      <c r="L12" s="47">
        <f>COUNTIF(G6:G106, 3)</f>
        <v>0</v>
      </c>
      <c r="M12" s="47">
        <f>COUNTIF(G6:G106, 4)</f>
        <v>0</v>
      </c>
      <c r="N12" s="47">
        <f>COUNTIF(G6:G106, 5)</f>
        <v>0</v>
      </c>
      <c r="O12" s="47">
        <f>COUNTIF(G6:G106, 6)</f>
        <v>0</v>
      </c>
      <c r="P12" s="47">
        <f>COUNTIF(G6:G106, 7)</f>
        <v>0</v>
      </c>
      <c r="Q12" s="47">
        <f>COUNTIF(G6:G106, 8)</f>
        <v>0</v>
      </c>
      <c r="R12" s="47">
        <f>COUNTIF(G6:G106, 9)</f>
        <v>0</v>
      </c>
      <c r="S12" s="47">
        <f>COUNTIF(G6:G106, 10)</f>
        <v>0</v>
      </c>
    </row>
    <row r="13" spans="1:19" x14ac:dyDescent="0.15">
      <c r="A13"/>
      <c r="B13"/>
      <c r="C13"/>
      <c r="D13"/>
      <c r="E13"/>
      <c r="F13"/>
      <c r="G13"/>
      <c r="H13" s="46"/>
    </row>
    <row r="14" spans="1:19" x14ac:dyDescent="0.15">
      <c r="A14"/>
      <c r="B14"/>
      <c r="C14"/>
      <c r="D14"/>
      <c r="E14"/>
      <c r="F14"/>
      <c r="G14"/>
      <c r="H14" s="46"/>
      <c r="J14" s="47" t="s">
        <v>90</v>
      </c>
      <c r="K14" s="47" t="s">
        <v>91</v>
      </c>
      <c r="L14" s="47" t="s">
        <v>92</v>
      </c>
      <c r="M14" s="47" t="s">
        <v>93</v>
      </c>
      <c r="N14" s="47" t="s">
        <v>94</v>
      </c>
      <c r="O14" s="47" t="s">
        <v>95</v>
      </c>
      <c r="P14" s="47" t="s">
        <v>96</v>
      </c>
      <c r="Q14" s="47" t="s">
        <v>97</v>
      </c>
      <c r="R14" s="47" t="s">
        <v>98</v>
      </c>
      <c r="S14" s="47" t="s">
        <v>99</v>
      </c>
    </row>
    <row r="15" spans="1:19" x14ac:dyDescent="0.15">
      <c r="A15"/>
      <c r="B15"/>
      <c r="C15"/>
      <c r="D15"/>
      <c r="E15"/>
      <c r="F15"/>
      <c r="G15"/>
      <c r="H15" s="46"/>
      <c r="J15" s="47">
        <f>COUNTIF(G6:G106, 11)</f>
        <v>0</v>
      </c>
      <c r="K15" s="47">
        <f>COUNTIF(G6:G106, 12)</f>
        <v>0</v>
      </c>
      <c r="L15" s="47">
        <f>COUNTIF(G6:G106, 13)</f>
        <v>0</v>
      </c>
      <c r="M15" s="47">
        <f>COUNTIF(G6:G106, 14)</f>
        <v>0</v>
      </c>
      <c r="N15" s="47">
        <f>COUNTIF(G6:G106, 15)</f>
        <v>0</v>
      </c>
      <c r="O15" s="47">
        <f>COUNTIF(G6:G106, 16)</f>
        <v>0</v>
      </c>
      <c r="P15" s="47">
        <f>COUNTIF(G6:G106, 17)</f>
        <v>0</v>
      </c>
      <c r="Q15" s="47">
        <f>COUNTIF(G6:G106, 18)</f>
        <v>0</v>
      </c>
      <c r="R15" s="47">
        <f>COUNTIF(G6:G106, 19)</f>
        <v>0</v>
      </c>
      <c r="S15" s="47">
        <f>COUNTIF(G6:G106, 20)</f>
        <v>0</v>
      </c>
    </row>
    <row r="16" spans="1:19" x14ac:dyDescent="0.15">
      <c r="A16"/>
      <c r="B16"/>
      <c r="C16"/>
      <c r="D16"/>
      <c r="E16"/>
      <c r="F16"/>
      <c r="G16"/>
      <c r="H16" s="46"/>
    </row>
    <row r="17" spans="1:14" x14ac:dyDescent="0.15">
      <c r="A17"/>
      <c r="B17"/>
      <c r="C17"/>
      <c r="D17"/>
      <c r="E17"/>
      <c r="F17"/>
      <c r="G17"/>
      <c r="H17" s="46"/>
      <c r="J17" s="47" t="s">
        <v>103</v>
      </c>
      <c r="K17" s="47" t="s">
        <v>104</v>
      </c>
      <c r="L17" s="47" t="s">
        <v>105</v>
      </c>
      <c r="M17" s="47" t="s">
        <v>106</v>
      </c>
      <c r="N17" s="47" t="s">
        <v>107</v>
      </c>
    </row>
    <row r="18" spans="1:14" x14ac:dyDescent="0.15">
      <c r="A18"/>
      <c r="B18"/>
      <c r="C18"/>
      <c r="D18"/>
      <c r="E18"/>
      <c r="F18"/>
      <c r="G18"/>
      <c r="H18" s="46"/>
      <c r="J18" s="47">
        <f>COUNTIF(G6:G106, 21)</f>
        <v>0</v>
      </c>
      <c r="K18" s="47">
        <f>COUNTIF(G6:G106, 22)</f>
        <v>0</v>
      </c>
      <c r="L18" s="47">
        <f>COUNTIF(G6:G106, 23)</f>
        <v>0</v>
      </c>
      <c r="M18" s="47">
        <f>COUNTIF(G6:G106, 24)</f>
        <v>0</v>
      </c>
      <c r="N18" s="47">
        <f>COUNTIF(G6:G106, 25)</f>
        <v>0</v>
      </c>
    </row>
    <row r="19" spans="1:14" x14ac:dyDescent="0.15">
      <c r="A19"/>
      <c r="B19"/>
      <c r="C19"/>
      <c r="D19"/>
      <c r="E19"/>
      <c r="F19"/>
      <c r="G19"/>
      <c r="H19" s="46"/>
    </row>
    <row r="20" spans="1:14" x14ac:dyDescent="0.15">
      <c r="A20"/>
      <c r="B20"/>
      <c r="C20"/>
      <c r="D20"/>
      <c r="E20"/>
      <c r="F20"/>
      <c r="G20"/>
      <c r="H20" s="46"/>
      <c r="J20" s="34" t="s">
        <v>102</v>
      </c>
    </row>
    <row r="21" spans="1:14" x14ac:dyDescent="0.15">
      <c r="A21"/>
      <c r="B21"/>
      <c r="C21"/>
      <c r="D21"/>
      <c r="E21"/>
      <c r="F21"/>
      <c r="G21"/>
      <c r="H21" s="46"/>
      <c r="J21" s="47"/>
    </row>
    <row r="22" spans="1:14" x14ac:dyDescent="0.15">
      <c r="A22"/>
      <c r="B22"/>
      <c r="C22"/>
      <c r="D22"/>
      <c r="E22"/>
      <c r="F22"/>
      <c r="G22"/>
      <c r="H22" s="46"/>
    </row>
    <row r="23" spans="1:14" x14ac:dyDescent="0.15">
      <c r="A23"/>
      <c r="B23"/>
      <c r="C23"/>
      <c r="D23"/>
      <c r="E23"/>
      <c r="F23"/>
      <c r="G23"/>
      <c r="H23" s="46"/>
    </row>
    <row r="24" spans="1:14" x14ac:dyDescent="0.15">
      <c r="A24"/>
      <c r="B24"/>
      <c r="C24"/>
      <c r="D24"/>
      <c r="E24"/>
      <c r="F24"/>
      <c r="G24"/>
      <c r="H24" s="46"/>
    </row>
    <row r="25" spans="1:14" x14ac:dyDescent="0.15">
      <c r="A25"/>
      <c r="B25"/>
      <c r="C25"/>
      <c r="D25"/>
      <c r="E25"/>
      <c r="F25"/>
      <c r="G25"/>
      <c r="H25" s="46"/>
    </row>
    <row r="26" spans="1:14" x14ac:dyDescent="0.15">
      <c r="A26"/>
      <c r="B26"/>
      <c r="C26"/>
      <c r="D26"/>
      <c r="E26"/>
      <c r="F26"/>
      <c r="G26"/>
      <c r="H26" s="46"/>
    </row>
    <row r="27" spans="1:14" x14ac:dyDescent="0.15">
      <c r="A27"/>
      <c r="B27"/>
      <c r="C27"/>
      <c r="D27"/>
      <c r="E27"/>
      <c r="F27"/>
      <c r="G27"/>
      <c r="H27" s="46"/>
    </row>
    <row r="28" spans="1:14" x14ac:dyDescent="0.15">
      <c r="A28"/>
      <c r="B28"/>
      <c r="C28"/>
      <c r="D28"/>
      <c r="E28"/>
      <c r="F28"/>
      <c r="G28"/>
      <c r="H28" s="46"/>
    </row>
    <row r="29" spans="1:14" x14ac:dyDescent="0.15">
      <c r="A29"/>
      <c r="B29"/>
      <c r="C29"/>
      <c r="D29"/>
      <c r="E29"/>
      <c r="F29"/>
      <c r="G29"/>
      <c r="H29" s="46"/>
    </row>
    <row r="30" spans="1:14" x14ac:dyDescent="0.15">
      <c r="A30"/>
      <c r="B30"/>
      <c r="C30"/>
      <c r="D30"/>
      <c r="E30"/>
      <c r="F30"/>
      <c r="G30"/>
      <c r="H30" s="46"/>
    </row>
    <row r="31" spans="1:14" x14ac:dyDescent="0.15">
      <c r="A31"/>
      <c r="B31"/>
      <c r="C31"/>
      <c r="D31"/>
      <c r="E31"/>
      <c r="F31"/>
      <c r="G31"/>
      <c r="H31" s="46"/>
    </row>
    <row r="32" spans="1:14" x14ac:dyDescent="0.15">
      <c r="A32"/>
      <c r="B32"/>
      <c r="C32"/>
      <c r="D32"/>
      <c r="E32"/>
      <c r="F32"/>
      <c r="G32"/>
      <c r="H32" s="46"/>
    </row>
    <row r="33" spans="1:9" x14ac:dyDescent="0.15">
      <c r="A33"/>
      <c r="B33"/>
      <c r="C33"/>
      <c r="D33"/>
      <c r="E33"/>
      <c r="F33"/>
      <c r="G33"/>
      <c r="H33" s="46"/>
    </row>
    <row r="34" spans="1:9" x14ac:dyDescent="0.15">
      <c r="A34"/>
      <c r="B34"/>
      <c r="C34"/>
      <c r="D34"/>
      <c r="E34"/>
      <c r="F34"/>
      <c r="G34"/>
      <c r="H34" s="46"/>
    </row>
    <row r="35" spans="1:9" x14ac:dyDescent="0.15">
      <c r="A35"/>
      <c r="B35"/>
      <c r="C35"/>
      <c r="D35"/>
      <c r="E35"/>
      <c r="F35"/>
      <c r="G35"/>
      <c r="H35" s="46"/>
    </row>
    <row r="36" spans="1:9" x14ac:dyDescent="0.15">
      <c r="A36"/>
      <c r="B36"/>
      <c r="C36"/>
      <c r="D36"/>
      <c r="E36"/>
      <c r="F36"/>
      <c r="G36"/>
      <c r="H36" s="46"/>
    </row>
    <row r="37" spans="1:9" x14ac:dyDescent="0.15">
      <c r="A37"/>
      <c r="B37"/>
      <c r="C37"/>
      <c r="D37"/>
      <c r="E37"/>
      <c r="F37"/>
      <c r="G37"/>
      <c r="H37" s="46"/>
    </row>
    <row r="38" spans="1:9" x14ac:dyDescent="0.15">
      <c r="A38"/>
      <c r="B38"/>
      <c r="C38"/>
      <c r="D38"/>
      <c r="E38"/>
      <c r="F38"/>
      <c r="G38"/>
      <c r="H38" s="46"/>
    </row>
    <row r="39" spans="1:9" x14ac:dyDescent="0.15">
      <c r="A39"/>
      <c r="B39"/>
      <c r="C39"/>
      <c r="D39"/>
      <c r="E39"/>
      <c r="F39"/>
      <c r="G39"/>
      <c r="H39" s="46"/>
    </row>
    <row r="40" spans="1:9" x14ac:dyDescent="0.15">
      <c r="A40"/>
      <c r="B40"/>
      <c r="C40"/>
      <c r="D40"/>
      <c r="E40"/>
      <c r="F40"/>
      <c r="G40"/>
      <c r="H40" s="46"/>
    </row>
    <row r="41" spans="1:9" x14ac:dyDescent="0.15">
      <c r="A41"/>
      <c r="B41"/>
      <c r="C41"/>
      <c r="D41"/>
      <c r="E41"/>
      <c r="F41"/>
      <c r="G41"/>
      <c r="H41" s="46"/>
    </row>
    <row r="42" spans="1:9" x14ac:dyDescent="0.15">
      <c r="A42"/>
      <c r="B42"/>
      <c r="C42"/>
      <c r="D42"/>
      <c r="E42"/>
      <c r="F42"/>
      <c r="G42"/>
      <c r="H42" s="46"/>
    </row>
    <row r="43" spans="1:9" x14ac:dyDescent="0.15">
      <c r="A43"/>
      <c r="B43"/>
      <c r="C43"/>
      <c r="D43"/>
      <c r="E43"/>
      <c r="F43"/>
      <c r="G43"/>
      <c r="H43" s="46"/>
    </row>
    <row r="44" spans="1:9" x14ac:dyDescent="0.15">
      <c r="A44"/>
      <c r="B44"/>
      <c r="C44"/>
      <c r="D44"/>
      <c r="E44"/>
      <c r="F44"/>
      <c r="G44"/>
      <c r="H44" s="46"/>
    </row>
    <row r="45" spans="1:9" x14ac:dyDescent="0.15">
      <c r="A45"/>
      <c r="B45"/>
      <c r="C45"/>
      <c r="D45"/>
      <c r="E45"/>
      <c r="F45"/>
      <c r="G45"/>
      <c r="H45" s="46"/>
    </row>
    <row r="46" spans="1:9" x14ac:dyDescent="0.15">
      <c r="A46"/>
      <c r="B46"/>
      <c r="C46"/>
      <c r="D46"/>
      <c r="E46"/>
      <c r="F46"/>
      <c r="G46"/>
      <c r="H46" s="46"/>
    </row>
    <row r="47" spans="1:9" x14ac:dyDescent="0.15">
      <c r="A47"/>
      <c r="B47"/>
      <c r="C47"/>
      <c r="D47"/>
      <c r="E47"/>
      <c r="F47"/>
      <c r="G47"/>
      <c r="H47" s="48"/>
      <c r="I47" s="45"/>
    </row>
    <row r="48" spans="1:9" x14ac:dyDescent="0.15">
      <c r="A48"/>
      <c r="B48"/>
      <c r="C48"/>
      <c r="D48"/>
      <c r="E48"/>
      <c r="F48"/>
      <c r="G48"/>
      <c r="H48" s="48"/>
      <c r="I48" s="45"/>
    </row>
    <row r="49" spans="1:9" x14ac:dyDescent="0.15">
      <c r="A49"/>
      <c r="B49"/>
      <c r="C49"/>
      <c r="D49"/>
      <c r="E49"/>
      <c r="F49"/>
      <c r="G49"/>
      <c r="H49" s="48"/>
      <c r="I49" s="45"/>
    </row>
    <row r="50" spans="1:9" x14ac:dyDescent="0.15">
      <c r="A50"/>
      <c r="B50"/>
      <c r="C50"/>
      <c r="D50"/>
      <c r="E50"/>
      <c r="F50"/>
      <c r="G50"/>
      <c r="H50" s="48"/>
      <c r="I50" s="45"/>
    </row>
    <row r="51" spans="1:9" x14ac:dyDescent="0.15">
      <c r="A51"/>
      <c r="B51"/>
      <c r="C51"/>
      <c r="D51"/>
      <c r="E51"/>
      <c r="F51"/>
      <c r="G51"/>
      <c r="H51" s="48"/>
      <c r="I51" s="45"/>
    </row>
    <row r="52" spans="1:9" x14ac:dyDescent="0.15">
      <c r="A52"/>
      <c r="B52"/>
      <c r="C52"/>
      <c r="D52"/>
      <c r="E52"/>
      <c r="F52"/>
      <c r="G52"/>
      <c r="H52" s="48"/>
      <c r="I52" s="45"/>
    </row>
    <row r="53" spans="1:9" x14ac:dyDescent="0.15">
      <c r="A53"/>
      <c r="B53"/>
      <c r="C53"/>
      <c r="D53"/>
      <c r="E53"/>
      <c r="F53"/>
      <c r="G53"/>
      <c r="H53" s="48"/>
      <c r="I53" s="45"/>
    </row>
    <row r="54" spans="1:9" x14ac:dyDescent="0.15">
      <c r="A54"/>
      <c r="B54"/>
      <c r="C54"/>
      <c r="D54"/>
      <c r="E54"/>
      <c r="F54"/>
      <c r="G54"/>
      <c r="H54" s="48"/>
      <c r="I54" s="45"/>
    </row>
    <row r="55" spans="1:9" x14ac:dyDescent="0.15">
      <c r="A55"/>
      <c r="B55"/>
      <c r="C55"/>
      <c r="D55"/>
      <c r="E55"/>
      <c r="F55"/>
      <c r="G55"/>
      <c r="H55" s="48"/>
      <c r="I55" s="45"/>
    </row>
    <row r="56" spans="1:9" x14ac:dyDescent="0.15">
      <c r="A56"/>
      <c r="B56"/>
      <c r="C56"/>
      <c r="D56"/>
      <c r="E56"/>
      <c r="F56"/>
      <c r="G56"/>
      <c r="H56" s="48"/>
      <c r="I56" s="45"/>
    </row>
    <row r="57" spans="1:9" x14ac:dyDescent="0.15">
      <c r="A57"/>
      <c r="B57"/>
      <c r="C57"/>
      <c r="D57"/>
      <c r="E57"/>
      <c r="F57"/>
      <c r="G57"/>
      <c r="H57" s="48"/>
      <c r="I57" s="45"/>
    </row>
    <row r="58" spans="1:9" x14ac:dyDescent="0.15">
      <c r="A58"/>
      <c r="B58"/>
      <c r="C58"/>
      <c r="D58"/>
      <c r="E58"/>
      <c r="F58"/>
      <c r="G58"/>
      <c r="H58" s="48"/>
      <c r="I58" s="45"/>
    </row>
    <row r="59" spans="1:9" x14ac:dyDescent="0.15">
      <c r="A59"/>
      <c r="B59"/>
      <c r="C59"/>
      <c r="D59"/>
      <c r="E59"/>
      <c r="F59"/>
      <c r="G59"/>
      <c r="H59" s="48"/>
      <c r="I59" s="45"/>
    </row>
    <row r="60" spans="1:9" x14ac:dyDescent="0.15">
      <c r="A60"/>
      <c r="B60"/>
      <c r="C60"/>
      <c r="D60"/>
      <c r="E60"/>
      <c r="F60"/>
      <c r="G60"/>
      <c r="H60" s="48"/>
      <c r="I60" s="45"/>
    </row>
    <row r="61" spans="1:9" x14ac:dyDescent="0.15">
      <c r="A61"/>
      <c r="B61"/>
      <c r="C61"/>
      <c r="D61"/>
      <c r="E61"/>
      <c r="F61"/>
      <c r="G61"/>
      <c r="H61" s="48"/>
      <c r="I61" s="45"/>
    </row>
    <row r="62" spans="1:9" x14ac:dyDescent="0.15">
      <c r="A62"/>
      <c r="B62"/>
      <c r="C62"/>
      <c r="D62"/>
      <c r="E62"/>
      <c r="F62"/>
      <c r="G62"/>
      <c r="H62" s="48"/>
      <c r="I62" s="45"/>
    </row>
    <row r="63" spans="1:9" x14ac:dyDescent="0.15">
      <c r="A63"/>
      <c r="B63"/>
      <c r="C63"/>
      <c r="D63"/>
      <c r="E63"/>
      <c r="F63"/>
      <c r="G63"/>
      <c r="H63" s="48"/>
      <c r="I63" s="45"/>
    </row>
    <row r="64" spans="1:9" x14ac:dyDescent="0.15">
      <c r="A64"/>
      <c r="B64"/>
      <c r="C64"/>
      <c r="D64"/>
      <c r="E64"/>
      <c r="F64"/>
      <c r="G64"/>
      <c r="H64" s="46"/>
    </row>
    <row r="65" spans="1:8" x14ac:dyDescent="0.15">
      <c r="A65"/>
      <c r="B65"/>
      <c r="C65"/>
      <c r="D65"/>
      <c r="E65"/>
      <c r="F65"/>
      <c r="G65"/>
      <c r="H65" s="46"/>
    </row>
    <row r="66" spans="1:8" x14ac:dyDescent="0.15">
      <c r="A66"/>
      <c r="B66"/>
      <c r="C66"/>
      <c r="D66"/>
      <c r="E66"/>
      <c r="F66"/>
      <c r="G66"/>
      <c r="H66" s="46"/>
    </row>
    <row r="67" spans="1:8" x14ac:dyDescent="0.15">
      <c r="A67"/>
      <c r="B67"/>
      <c r="C67"/>
      <c r="D67"/>
      <c r="E67"/>
      <c r="F67"/>
      <c r="G67"/>
      <c r="H67" s="46"/>
    </row>
    <row r="68" spans="1:8" x14ac:dyDescent="0.15">
      <c r="A68"/>
      <c r="B68"/>
      <c r="C68"/>
      <c r="D68"/>
      <c r="E68"/>
      <c r="F68"/>
      <c r="G68"/>
      <c r="H68" s="46"/>
    </row>
    <row r="69" spans="1:8" x14ac:dyDescent="0.15">
      <c r="A69"/>
      <c r="B69"/>
      <c r="C69"/>
      <c r="D69"/>
      <c r="E69"/>
      <c r="F69"/>
      <c r="G69"/>
      <c r="H69" s="46"/>
    </row>
    <row r="70" spans="1:8" x14ac:dyDescent="0.15">
      <c r="A70"/>
      <c r="B70"/>
      <c r="C70"/>
      <c r="D70"/>
      <c r="E70"/>
      <c r="F70"/>
      <c r="G70"/>
      <c r="H70" s="46"/>
    </row>
    <row r="71" spans="1:8" x14ac:dyDescent="0.15">
      <c r="A71"/>
      <c r="B71"/>
      <c r="C71"/>
      <c r="D71"/>
      <c r="E71"/>
      <c r="F71"/>
      <c r="G71"/>
      <c r="H71" s="46"/>
    </row>
    <row r="72" spans="1:8" x14ac:dyDescent="0.15">
      <c r="A72"/>
      <c r="B72"/>
      <c r="C72"/>
      <c r="D72"/>
      <c r="E72"/>
      <c r="F72"/>
      <c r="G72"/>
      <c r="H72" s="46"/>
    </row>
    <row r="73" spans="1:8" x14ac:dyDescent="0.15">
      <c r="A73"/>
      <c r="B73"/>
      <c r="C73"/>
      <c r="D73"/>
      <c r="E73"/>
      <c r="F73"/>
      <c r="G73"/>
      <c r="H73" s="46"/>
    </row>
    <row r="74" spans="1:8" x14ac:dyDescent="0.15">
      <c r="A74"/>
      <c r="B74"/>
      <c r="C74"/>
      <c r="D74"/>
      <c r="E74"/>
      <c r="F74"/>
      <c r="G74"/>
      <c r="H74" s="46"/>
    </row>
    <row r="75" spans="1:8" x14ac:dyDescent="0.15">
      <c r="A75"/>
      <c r="B75"/>
      <c r="C75"/>
      <c r="D75"/>
      <c r="E75"/>
      <c r="F75"/>
      <c r="G75"/>
      <c r="H75" s="46"/>
    </row>
    <row r="76" spans="1:8" x14ac:dyDescent="0.15">
      <c r="A76"/>
      <c r="B76"/>
      <c r="C76"/>
      <c r="D76"/>
      <c r="E76"/>
      <c r="F76"/>
      <c r="G76"/>
      <c r="H76" s="46"/>
    </row>
    <row r="77" spans="1:8" x14ac:dyDescent="0.15">
      <c r="A77"/>
      <c r="B77"/>
      <c r="C77"/>
      <c r="D77"/>
      <c r="E77"/>
      <c r="F77"/>
      <c r="G77"/>
      <c r="H77" s="46"/>
    </row>
    <row r="78" spans="1:8" x14ac:dyDescent="0.15">
      <c r="A78"/>
      <c r="B78"/>
      <c r="C78"/>
      <c r="D78"/>
      <c r="E78"/>
      <c r="F78"/>
      <c r="G78"/>
      <c r="H78" s="46"/>
    </row>
    <row r="79" spans="1:8" x14ac:dyDescent="0.15">
      <c r="A79"/>
      <c r="B79"/>
      <c r="C79"/>
      <c r="D79"/>
      <c r="E79"/>
      <c r="F79"/>
      <c r="G79"/>
      <c r="H79" s="46"/>
    </row>
    <row r="80" spans="1:8" x14ac:dyDescent="0.15">
      <c r="A80"/>
      <c r="B80"/>
      <c r="C80"/>
      <c r="D80"/>
      <c r="E80"/>
      <c r="F80"/>
      <c r="G80"/>
      <c r="H80" s="46"/>
    </row>
    <row r="81" spans="1:8" x14ac:dyDescent="0.15">
      <c r="A81"/>
      <c r="B81"/>
      <c r="C81"/>
      <c r="D81"/>
      <c r="E81"/>
      <c r="F81"/>
      <c r="G81"/>
      <c r="H81" s="46"/>
    </row>
    <row r="82" spans="1:8" x14ac:dyDescent="0.15">
      <c r="A82"/>
      <c r="B82"/>
      <c r="C82"/>
      <c r="D82"/>
      <c r="E82"/>
      <c r="F82"/>
      <c r="G82"/>
      <c r="H82" s="46"/>
    </row>
    <row r="83" spans="1:8" x14ac:dyDescent="0.15">
      <c r="A83"/>
      <c r="B83"/>
      <c r="C83"/>
      <c r="D83"/>
      <c r="E83"/>
      <c r="F83"/>
      <c r="G83"/>
      <c r="H83" s="46"/>
    </row>
    <row r="84" spans="1:8" x14ac:dyDescent="0.15">
      <c r="A84"/>
      <c r="B84"/>
      <c r="C84"/>
      <c r="D84"/>
      <c r="E84"/>
      <c r="F84"/>
      <c r="G84"/>
      <c r="H84" s="46"/>
    </row>
    <row r="85" spans="1:8" x14ac:dyDescent="0.15">
      <c r="A85"/>
      <c r="B85"/>
      <c r="C85"/>
      <c r="D85"/>
      <c r="E85"/>
      <c r="F85"/>
      <c r="G85"/>
      <c r="H85" s="46"/>
    </row>
    <row r="86" spans="1:8" x14ac:dyDescent="0.15">
      <c r="A86"/>
      <c r="B86"/>
      <c r="C86"/>
      <c r="D86"/>
      <c r="E86"/>
      <c r="F86"/>
      <c r="G86"/>
      <c r="H86" s="46"/>
    </row>
    <row r="87" spans="1:8" x14ac:dyDescent="0.15">
      <c r="A87"/>
      <c r="B87"/>
      <c r="C87"/>
      <c r="D87"/>
      <c r="E87"/>
      <c r="F87"/>
      <c r="G87"/>
      <c r="H87" s="46"/>
    </row>
    <row r="88" spans="1:8" x14ac:dyDescent="0.15">
      <c r="A88"/>
      <c r="B88"/>
      <c r="C88"/>
      <c r="D88"/>
      <c r="E88"/>
      <c r="F88"/>
      <c r="G88"/>
      <c r="H88" s="46"/>
    </row>
    <row r="89" spans="1:8" x14ac:dyDescent="0.15">
      <c r="A89"/>
      <c r="B89"/>
      <c r="C89"/>
      <c r="D89"/>
      <c r="E89"/>
      <c r="F89"/>
      <c r="G89"/>
      <c r="H89" s="46"/>
    </row>
    <row r="90" spans="1:8" x14ac:dyDescent="0.15">
      <c r="A90"/>
      <c r="B90"/>
      <c r="C90"/>
      <c r="D90"/>
      <c r="E90"/>
      <c r="F90"/>
      <c r="G90"/>
      <c r="H90" s="46"/>
    </row>
    <row r="91" spans="1:8" x14ac:dyDescent="0.15">
      <c r="A91"/>
      <c r="B91"/>
      <c r="C91"/>
      <c r="D91"/>
      <c r="E91"/>
      <c r="F91"/>
      <c r="G91"/>
      <c r="H91" s="46"/>
    </row>
    <row r="92" spans="1:8" x14ac:dyDescent="0.15">
      <c r="A92"/>
      <c r="B92"/>
      <c r="C92"/>
      <c r="D92"/>
      <c r="E92"/>
      <c r="F92"/>
      <c r="G92"/>
      <c r="H92" s="46"/>
    </row>
    <row r="93" spans="1:8" x14ac:dyDescent="0.15">
      <c r="A93"/>
      <c r="B93"/>
      <c r="C93"/>
      <c r="D93"/>
      <c r="E93"/>
      <c r="F93"/>
      <c r="G93"/>
      <c r="H93" s="46"/>
    </row>
    <row r="94" spans="1:8" x14ac:dyDescent="0.15">
      <c r="A94"/>
      <c r="B94"/>
      <c r="C94"/>
      <c r="D94"/>
      <c r="E94"/>
      <c r="F94"/>
      <c r="G94"/>
      <c r="H94" s="46"/>
    </row>
    <row r="95" spans="1:8" x14ac:dyDescent="0.15">
      <c r="A95"/>
      <c r="B95"/>
      <c r="C95"/>
      <c r="D95"/>
      <c r="E95"/>
      <c r="F95"/>
      <c r="G95"/>
      <c r="H95" s="46"/>
    </row>
    <row r="96" spans="1:8" x14ac:dyDescent="0.15">
      <c r="A96"/>
      <c r="B96"/>
      <c r="C96"/>
      <c r="D96"/>
      <c r="E96"/>
      <c r="F96"/>
      <c r="G96"/>
      <c r="H96" s="46"/>
    </row>
    <row r="97" spans="1:8" x14ac:dyDescent="0.15">
      <c r="A97"/>
      <c r="B97"/>
      <c r="C97"/>
      <c r="D97"/>
      <c r="E97"/>
      <c r="F97"/>
      <c r="G97"/>
      <c r="H97" s="46"/>
    </row>
    <row r="98" spans="1:8" x14ac:dyDescent="0.15">
      <c r="A98"/>
      <c r="B98"/>
      <c r="C98"/>
      <c r="D98"/>
      <c r="E98"/>
      <c r="F98"/>
      <c r="G98"/>
      <c r="H98" s="46"/>
    </row>
    <row r="99" spans="1:8" x14ac:dyDescent="0.15">
      <c r="A99"/>
      <c r="B99"/>
      <c r="C99"/>
      <c r="D99"/>
      <c r="E99"/>
      <c r="F99"/>
      <c r="G99"/>
      <c r="H99" s="46"/>
    </row>
    <row r="100" spans="1:8" x14ac:dyDescent="0.15">
      <c r="A100"/>
      <c r="B100"/>
      <c r="C100"/>
      <c r="D100"/>
      <c r="E100"/>
      <c r="F100"/>
      <c r="G100"/>
      <c r="H100" s="46"/>
    </row>
    <row r="101" spans="1:8" x14ac:dyDescent="0.15">
      <c r="A101"/>
      <c r="B101"/>
      <c r="C101"/>
      <c r="D101"/>
      <c r="E101"/>
      <c r="F101"/>
      <c r="G101"/>
      <c r="H101" s="46"/>
    </row>
    <row r="102" spans="1:8" x14ac:dyDescent="0.15">
      <c r="A102"/>
      <c r="B102"/>
      <c r="C102"/>
      <c r="D102"/>
      <c r="E102"/>
      <c r="F102"/>
      <c r="G102"/>
      <c r="H102" s="46"/>
    </row>
    <row r="103" spans="1:8" x14ac:dyDescent="0.15">
      <c r="A103"/>
      <c r="B103"/>
      <c r="C103"/>
      <c r="D103"/>
      <c r="E103"/>
      <c r="F103"/>
      <c r="G103"/>
      <c r="H103" s="46"/>
    </row>
    <row r="104" spans="1:8" x14ac:dyDescent="0.15">
      <c r="A104"/>
      <c r="B104"/>
      <c r="C104"/>
      <c r="D104"/>
      <c r="E104"/>
      <c r="F104"/>
      <c r="G104"/>
      <c r="H104" s="46"/>
    </row>
    <row r="105" spans="1:8" x14ac:dyDescent="0.15">
      <c r="A105"/>
      <c r="B105"/>
      <c r="C105"/>
      <c r="D105"/>
      <c r="E105"/>
      <c r="F105"/>
      <c r="G105"/>
      <c r="H105" s="46"/>
    </row>
    <row r="106" spans="1:8" x14ac:dyDescent="0.15">
      <c r="A106"/>
      <c r="B106"/>
      <c r="C106"/>
      <c r="D106"/>
      <c r="E106"/>
      <c r="F106"/>
      <c r="G106"/>
      <c r="H106" s="46"/>
    </row>
  </sheetData>
  <sortState xmlns:xlrd2="http://schemas.microsoft.com/office/spreadsheetml/2017/richdata2" ref="B6:G93">
    <sortCondition ref="B6"/>
  </sortState>
  <phoneticPr fontId="1"/>
  <pageMargins left="0.7" right="0.7" top="0.75" bottom="0.75" header="0.3" footer="0.3"/>
  <pageSetup paperSize="9" scale="79" fitToHeight="0" orientation="portrait" horizontalDpi="4294967293" r:id="rId1"/>
  <colBreaks count="1" manualBreakCount="1">
    <brk id="7" max="10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DF出力">
                <anchor moveWithCells="1">
                  <from>
                    <xdr:col>9</xdr:col>
                    <xdr:colOff>38100</xdr:colOff>
                    <xdr:row>1</xdr:row>
                    <xdr:rowOff>95250</xdr:rowOff>
                  </from>
                  <to>
                    <xdr:col>10</xdr:col>
                    <xdr:colOff>561975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01"/>
  <sheetViews>
    <sheetView workbookViewId="0"/>
  </sheetViews>
  <sheetFormatPr defaultColWidth="8.875" defaultRowHeight="13.5" x14ac:dyDescent="0.15"/>
  <cols>
    <col min="1" max="1" width="5.5" style="2" customWidth="1"/>
    <col min="2" max="3" width="17.5" style="2" customWidth="1"/>
    <col min="4" max="4" width="24.875" style="2" customWidth="1"/>
    <col min="5" max="5" width="32.375" style="2" customWidth="1"/>
    <col min="6" max="6" width="25.375" style="2" customWidth="1"/>
    <col min="7" max="16384" width="8.875" style="2"/>
  </cols>
  <sheetData>
    <row r="1" spans="1:6" x14ac:dyDescent="0.1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237</v>
      </c>
    </row>
    <row r="2" spans="1:6" x14ac:dyDescent="0.15">
      <c r="A2" s="2">
        <v>1</v>
      </c>
      <c r="B2" s="3">
        <v>43850.875706018516</v>
      </c>
      <c r="C2" s="3">
        <v>43850.875752314816</v>
      </c>
      <c r="D2" s="54" t="s">
        <v>235</v>
      </c>
      <c r="E2" s="1" t="s">
        <v>199</v>
      </c>
      <c r="F2" s="1" t="s">
        <v>7</v>
      </c>
    </row>
    <row r="3" spans="1:6" x14ac:dyDescent="0.15">
      <c r="A3" s="2">
        <v>2</v>
      </c>
      <c r="B3" s="3">
        <v>43850.88958333333</v>
      </c>
      <c r="C3" s="3">
        <v>43850.889618055553</v>
      </c>
      <c r="D3" s="54" t="s">
        <v>236</v>
      </c>
      <c r="E3" s="1" t="s">
        <v>200</v>
      </c>
      <c r="F3" s="1" t="s">
        <v>7</v>
      </c>
    </row>
    <row r="4" spans="1:6" x14ac:dyDescent="0.15">
      <c r="A4" s="2">
        <v>3</v>
      </c>
      <c r="B4" s="3">
        <v>43850.898726851854</v>
      </c>
      <c r="C4" s="3">
        <v>43850.89880787037</v>
      </c>
      <c r="D4" s="1" t="s">
        <v>175</v>
      </c>
      <c r="E4" s="1" t="s">
        <v>201</v>
      </c>
      <c r="F4" s="1" t="s">
        <v>7</v>
      </c>
    </row>
    <row r="5" spans="1:6" x14ac:dyDescent="0.15">
      <c r="A5" s="2">
        <v>4</v>
      </c>
      <c r="B5" s="3">
        <v>43850.899085648147</v>
      </c>
      <c r="C5" s="3">
        <v>43850.89912037037</v>
      </c>
      <c r="D5" s="1" t="s">
        <v>176</v>
      </c>
      <c r="E5" s="1" t="s">
        <v>202</v>
      </c>
      <c r="F5" s="1" t="s">
        <v>7</v>
      </c>
    </row>
    <row r="6" spans="1:6" x14ac:dyDescent="0.15">
      <c r="A6" s="2">
        <v>5</v>
      </c>
      <c r="B6" s="3">
        <v>43851.366990740738</v>
      </c>
      <c r="C6" s="3">
        <v>43851.367025462961</v>
      </c>
      <c r="D6" s="1" t="s">
        <v>177</v>
      </c>
      <c r="E6" s="1" t="s">
        <v>203</v>
      </c>
      <c r="F6" s="1" t="s">
        <v>7</v>
      </c>
    </row>
    <row r="7" spans="1:6" x14ac:dyDescent="0.15">
      <c r="A7" s="2">
        <v>6</v>
      </c>
      <c r="B7" s="3">
        <v>43851.396481481483</v>
      </c>
      <c r="C7" s="3">
        <v>43851.396516203706</v>
      </c>
      <c r="D7" s="1" t="s">
        <v>178</v>
      </c>
      <c r="E7" s="1" t="s">
        <v>204</v>
      </c>
      <c r="F7" s="1" t="s">
        <v>7</v>
      </c>
    </row>
    <row r="8" spans="1:6" x14ac:dyDescent="0.15">
      <c r="A8" s="2">
        <v>7</v>
      </c>
      <c r="B8" s="3">
        <v>43851.405081018522</v>
      </c>
      <c r="C8" s="3">
        <v>43851.405173611114</v>
      </c>
      <c r="D8" s="1" t="s">
        <v>179</v>
      </c>
      <c r="E8" s="1" t="s">
        <v>205</v>
      </c>
      <c r="F8" s="1" t="s">
        <v>7</v>
      </c>
    </row>
    <row r="9" spans="1:6" x14ac:dyDescent="0.15">
      <c r="A9" s="2">
        <v>8</v>
      </c>
      <c r="B9" s="3">
        <v>43851.727326388886</v>
      </c>
      <c r="C9" s="3">
        <v>43851.727395833332</v>
      </c>
      <c r="D9" s="1" t="s">
        <v>180</v>
      </c>
      <c r="E9" s="1" t="s">
        <v>206</v>
      </c>
      <c r="F9" s="1" t="s">
        <v>8</v>
      </c>
    </row>
    <row r="10" spans="1:6" x14ac:dyDescent="0.15">
      <c r="A10" s="2">
        <v>9</v>
      </c>
      <c r="B10" s="3">
        <v>43851.89340277778</v>
      </c>
      <c r="C10" s="3">
        <v>43851.893449074072</v>
      </c>
      <c r="D10" s="1" t="s">
        <v>181</v>
      </c>
      <c r="E10" s="1" t="s">
        <v>207</v>
      </c>
      <c r="F10" s="1" t="s">
        <v>7</v>
      </c>
    </row>
    <row r="11" spans="1:6" x14ac:dyDescent="0.15">
      <c r="A11" s="2">
        <v>10</v>
      </c>
      <c r="B11" s="3">
        <v>43851.913136574076</v>
      </c>
      <c r="C11" s="3">
        <v>43851.913483796299</v>
      </c>
      <c r="D11" s="1" t="s">
        <v>182</v>
      </c>
      <c r="E11" s="1" t="s">
        <v>208</v>
      </c>
      <c r="F11" s="1" t="s">
        <v>7</v>
      </c>
    </row>
    <row r="12" spans="1:6" x14ac:dyDescent="0.15">
      <c r="A12" s="2">
        <v>11</v>
      </c>
      <c r="B12" s="3">
        <v>43852.283009259256</v>
      </c>
      <c r="C12" s="3">
        <v>43852.283043981479</v>
      </c>
      <c r="D12" s="1" t="s">
        <v>183</v>
      </c>
      <c r="E12" s="1" t="s">
        <v>209</v>
      </c>
      <c r="F12" s="1" t="s">
        <v>7</v>
      </c>
    </row>
    <row r="13" spans="1:6" x14ac:dyDescent="0.15">
      <c r="A13" s="2">
        <v>12</v>
      </c>
      <c r="B13" s="3">
        <v>43852.764305555553</v>
      </c>
      <c r="C13" s="3">
        <v>43852.764456018522</v>
      </c>
      <c r="D13" s="1" t="s">
        <v>184</v>
      </c>
      <c r="E13" s="1" t="s">
        <v>210</v>
      </c>
      <c r="F13" s="1" t="s">
        <v>8</v>
      </c>
    </row>
    <row r="14" spans="1:6" x14ac:dyDescent="0.15">
      <c r="A14" s="2">
        <v>13</v>
      </c>
      <c r="B14" s="3">
        <v>43853.432800925926</v>
      </c>
      <c r="C14" s="3">
        <v>43853.432974537034</v>
      </c>
      <c r="D14" s="1" t="s">
        <v>185</v>
      </c>
      <c r="E14" s="1" t="s">
        <v>211</v>
      </c>
      <c r="F14" s="1" t="s">
        <v>8</v>
      </c>
    </row>
    <row r="15" spans="1:6" x14ac:dyDescent="0.15">
      <c r="A15" s="2">
        <v>14</v>
      </c>
      <c r="B15" s="3">
        <v>43853.444178240738</v>
      </c>
      <c r="C15" s="3">
        <v>43853.444224537037</v>
      </c>
      <c r="D15" s="1" t="s">
        <v>186</v>
      </c>
      <c r="E15" s="1" t="s">
        <v>212</v>
      </c>
      <c r="F15" s="1" t="s">
        <v>8</v>
      </c>
    </row>
    <row r="16" spans="1:6" x14ac:dyDescent="0.15">
      <c r="A16" s="2">
        <v>15</v>
      </c>
      <c r="B16" s="3">
        <v>43853.444722222222</v>
      </c>
      <c r="C16" s="3">
        <v>43853.445023148146</v>
      </c>
      <c r="D16" s="1" t="s">
        <v>187</v>
      </c>
      <c r="E16" s="1" t="s">
        <v>213</v>
      </c>
      <c r="F16" s="1" t="s">
        <v>8</v>
      </c>
    </row>
    <row r="17" spans="1:6" x14ac:dyDescent="0.15">
      <c r="A17" s="2">
        <v>16</v>
      </c>
      <c r="B17" s="3">
        <v>43855.903078703705</v>
      </c>
      <c r="C17" s="3">
        <v>43855.903148148151</v>
      </c>
      <c r="D17" s="1" t="s">
        <v>188</v>
      </c>
      <c r="E17" s="1" t="s">
        <v>214</v>
      </c>
      <c r="F17" s="1" t="s">
        <v>8</v>
      </c>
    </row>
    <row r="18" spans="1:6" x14ac:dyDescent="0.15">
      <c r="A18" s="2">
        <v>17</v>
      </c>
      <c r="B18" s="3">
        <v>43856.536238425928</v>
      </c>
      <c r="C18" s="3">
        <v>43856.536354166667</v>
      </c>
      <c r="D18" s="1" t="s">
        <v>189</v>
      </c>
      <c r="E18" s="1" t="s">
        <v>215</v>
      </c>
      <c r="F18" s="1" t="s">
        <v>8</v>
      </c>
    </row>
    <row r="19" spans="1:6" x14ac:dyDescent="0.15">
      <c r="A19" s="2">
        <v>18</v>
      </c>
      <c r="B19" s="3">
        <v>43856.653958333336</v>
      </c>
      <c r="C19" s="3">
        <v>43856.654305555552</v>
      </c>
      <c r="D19" s="1" t="s">
        <v>190</v>
      </c>
      <c r="E19" s="1" t="s">
        <v>216</v>
      </c>
      <c r="F19" s="1" t="s">
        <v>8</v>
      </c>
    </row>
    <row r="20" spans="1:6" x14ac:dyDescent="0.15">
      <c r="A20" s="2">
        <v>19</v>
      </c>
      <c r="B20" s="3">
        <v>43856.853321759256</v>
      </c>
      <c r="C20" s="3">
        <v>43856.853437500002</v>
      </c>
      <c r="D20" s="1" t="s">
        <v>191</v>
      </c>
      <c r="E20" s="1" t="s">
        <v>217</v>
      </c>
      <c r="F20" s="1" t="s">
        <v>7</v>
      </c>
    </row>
    <row r="21" spans="1:6" x14ac:dyDescent="0.15">
      <c r="A21" s="2">
        <v>20</v>
      </c>
      <c r="B21" s="3">
        <v>43856.901724537034</v>
      </c>
      <c r="C21" s="3">
        <v>43856.901979166665</v>
      </c>
      <c r="D21" s="1" t="s">
        <v>192</v>
      </c>
      <c r="E21" s="1" t="s">
        <v>218</v>
      </c>
      <c r="F21" s="1" t="s">
        <v>7</v>
      </c>
    </row>
    <row r="22" spans="1:6" x14ac:dyDescent="0.15">
      <c r="A22" s="2">
        <v>21</v>
      </c>
      <c r="B22" s="3">
        <v>43857.913217592592</v>
      </c>
      <c r="C22" s="3">
        <v>43857.913287037038</v>
      </c>
      <c r="D22" s="1" t="s">
        <v>193</v>
      </c>
      <c r="E22" s="1" t="s">
        <v>219</v>
      </c>
      <c r="F22" s="1" t="s">
        <v>8</v>
      </c>
    </row>
    <row r="23" spans="1:6" x14ac:dyDescent="0.15">
      <c r="A23" s="2">
        <v>22</v>
      </c>
      <c r="B23" s="3">
        <v>43857.935497685183</v>
      </c>
      <c r="C23" s="3">
        <v>43857.935520833336</v>
      </c>
      <c r="D23" s="1" t="s">
        <v>194</v>
      </c>
      <c r="E23" s="1" t="s">
        <v>220</v>
      </c>
      <c r="F23" s="1" t="s">
        <v>8</v>
      </c>
    </row>
    <row r="24" spans="1:6" x14ac:dyDescent="0.15">
      <c r="A24" s="2">
        <v>23</v>
      </c>
      <c r="B24" s="3">
        <v>43857.940983796296</v>
      </c>
      <c r="C24" s="3">
        <v>43857.941030092596</v>
      </c>
      <c r="D24" s="1" t="s">
        <v>195</v>
      </c>
      <c r="E24" s="1" t="s">
        <v>221</v>
      </c>
      <c r="F24" s="1" t="s">
        <v>8</v>
      </c>
    </row>
    <row r="25" spans="1:6" x14ac:dyDescent="0.15">
      <c r="A25" s="2">
        <v>24</v>
      </c>
      <c r="B25" s="3">
        <v>43857.942037037035</v>
      </c>
      <c r="C25" s="3">
        <v>43857.942071759258</v>
      </c>
      <c r="D25" s="1" t="s">
        <v>196</v>
      </c>
      <c r="E25" s="1" t="s">
        <v>222</v>
      </c>
      <c r="F25" s="1" t="s">
        <v>8</v>
      </c>
    </row>
    <row r="26" spans="1:6" x14ac:dyDescent="0.15">
      <c r="A26" s="2">
        <v>25</v>
      </c>
      <c r="B26" s="3">
        <v>43858.427569444444</v>
      </c>
      <c r="C26" s="3">
        <v>43858.42759259259</v>
      </c>
      <c r="D26" s="1" t="s">
        <v>197</v>
      </c>
      <c r="E26" s="1" t="s">
        <v>223</v>
      </c>
      <c r="F26" s="1" t="s">
        <v>7</v>
      </c>
    </row>
    <row r="27" spans="1:6" x14ac:dyDescent="0.15">
      <c r="A27" s="2">
        <v>26</v>
      </c>
      <c r="B27" s="3">
        <v>43858.541759259257</v>
      </c>
      <c r="C27" s="3">
        <v>43858.545266203706</v>
      </c>
      <c r="D27" s="1" t="s">
        <v>198</v>
      </c>
      <c r="E27" s="1" t="s">
        <v>224</v>
      </c>
      <c r="F27" s="1" t="s">
        <v>7</v>
      </c>
    </row>
    <row r="28" spans="1:6" x14ac:dyDescent="0.15">
      <c r="A28" s="2">
        <v>26</v>
      </c>
      <c r="B28" s="3">
        <v>43858.541759259257</v>
      </c>
      <c r="C28" s="3">
        <v>43858.545266203706</v>
      </c>
      <c r="D28" s="54" t="s">
        <v>231</v>
      </c>
      <c r="E28" s="1" t="s">
        <v>225</v>
      </c>
      <c r="F28" s="1" t="s">
        <v>7</v>
      </c>
    </row>
    <row r="29" spans="1:6" x14ac:dyDescent="0.15">
      <c r="A29" s="2">
        <v>26</v>
      </c>
      <c r="B29" s="3">
        <v>43858.541759259257</v>
      </c>
      <c r="C29" s="3">
        <v>43858.545266203706</v>
      </c>
      <c r="D29" s="54" t="s">
        <v>232</v>
      </c>
      <c r="E29" s="1" t="s">
        <v>226</v>
      </c>
      <c r="F29" s="1" t="s">
        <v>7</v>
      </c>
    </row>
    <row r="30" spans="1:6" x14ac:dyDescent="0.15">
      <c r="A30" s="2">
        <v>26</v>
      </c>
      <c r="B30" s="3">
        <v>43858.541759259257</v>
      </c>
      <c r="C30" s="3">
        <v>43858.545266203706</v>
      </c>
      <c r="D30" s="54" t="s">
        <v>233</v>
      </c>
      <c r="E30" s="1" t="s">
        <v>227</v>
      </c>
      <c r="F30" s="1" t="s">
        <v>7</v>
      </c>
    </row>
    <row r="31" spans="1:6" x14ac:dyDescent="0.15">
      <c r="A31" s="2">
        <v>26</v>
      </c>
      <c r="B31" s="3">
        <v>43858.541759259257</v>
      </c>
      <c r="C31" s="3">
        <v>43858.545266203706</v>
      </c>
      <c r="D31" s="54" t="s">
        <v>234</v>
      </c>
      <c r="E31" s="1" t="s">
        <v>238</v>
      </c>
      <c r="F31" s="1" t="s">
        <v>7</v>
      </c>
    </row>
    <row r="32" spans="1:6" x14ac:dyDescent="0.15">
      <c r="A32" s="1"/>
      <c r="B32" s="3"/>
      <c r="C32" s="3"/>
      <c r="D32" s="1"/>
      <c r="E32" s="1" t="s">
        <v>228</v>
      </c>
      <c r="F32" s="1" t="s">
        <v>9</v>
      </c>
    </row>
    <row r="33" spans="1:6" x14ac:dyDescent="0.15">
      <c r="A33" s="1"/>
      <c r="B33" s="3"/>
      <c r="C33" s="3"/>
      <c r="D33" s="1"/>
      <c r="E33" s="1" t="s">
        <v>229</v>
      </c>
      <c r="F33" s="1" t="s">
        <v>9</v>
      </c>
    </row>
    <row r="34" spans="1:6" x14ac:dyDescent="0.15">
      <c r="A34" s="1"/>
      <c r="B34" s="3"/>
      <c r="C34" s="3"/>
      <c r="D34" s="1"/>
      <c r="E34" s="1" t="s">
        <v>230</v>
      </c>
      <c r="F34" s="1" t="s">
        <v>9</v>
      </c>
    </row>
    <row r="35" spans="1:6" x14ac:dyDescent="0.15">
      <c r="A35" s="1"/>
      <c r="B35" s="3"/>
      <c r="C35" s="3"/>
      <c r="D35" s="1"/>
      <c r="E35" s="1" t="s">
        <v>108</v>
      </c>
      <c r="F35" s="1" t="s">
        <v>9</v>
      </c>
    </row>
    <row r="36" spans="1:6" x14ac:dyDescent="0.15">
      <c r="A36" s="1"/>
      <c r="B36" s="3"/>
      <c r="C36" s="3"/>
      <c r="D36" s="1"/>
      <c r="E36" s="1" t="s">
        <v>109</v>
      </c>
      <c r="F36" s="1" t="s">
        <v>9</v>
      </c>
    </row>
    <row r="37" spans="1:6" x14ac:dyDescent="0.15">
      <c r="A37" s="1"/>
      <c r="B37" s="3"/>
      <c r="C37" s="3"/>
      <c r="D37" s="1"/>
      <c r="E37" s="1" t="s">
        <v>110</v>
      </c>
      <c r="F37" s="1" t="s">
        <v>9</v>
      </c>
    </row>
    <row r="38" spans="1:6" x14ac:dyDescent="0.15">
      <c r="A38" s="1"/>
      <c r="B38" s="3"/>
      <c r="C38" s="3"/>
      <c r="D38" s="1"/>
      <c r="E38" s="1" t="s">
        <v>111</v>
      </c>
      <c r="F38" s="1" t="s">
        <v>9</v>
      </c>
    </row>
    <row r="39" spans="1:6" x14ac:dyDescent="0.15">
      <c r="A39" s="1"/>
      <c r="B39" s="3"/>
      <c r="C39" s="3"/>
      <c r="D39" s="1"/>
      <c r="E39" s="1" t="s">
        <v>112</v>
      </c>
      <c r="F39" s="1" t="s">
        <v>9</v>
      </c>
    </row>
    <row r="40" spans="1:6" x14ac:dyDescent="0.15">
      <c r="A40" s="1"/>
      <c r="B40" s="3"/>
      <c r="C40" s="3"/>
      <c r="D40" s="1"/>
      <c r="E40" s="1" t="s">
        <v>113</v>
      </c>
      <c r="F40" s="1" t="s">
        <v>9</v>
      </c>
    </row>
    <row r="41" spans="1:6" x14ac:dyDescent="0.15">
      <c r="A41" s="1"/>
      <c r="B41" s="3"/>
      <c r="C41" s="3"/>
      <c r="D41" s="1"/>
      <c r="E41" s="1" t="s">
        <v>114</v>
      </c>
      <c r="F41" s="1" t="s">
        <v>9</v>
      </c>
    </row>
    <row r="42" spans="1:6" x14ac:dyDescent="0.15">
      <c r="A42" s="1"/>
      <c r="B42" s="3"/>
      <c r="C42" s="3"/>
      <c r="D42" s="1"/>
      <c r="E42" s="1" t="s">
        <v>115</v>
      </c>
      <c r="F42" s="1" t="s">
        <v>9</v>
      </c>
    </row>
    <row r="43" spans="1:6" x14ac:dyDescent="0.15">
      <c r="A43" s="1"/>
      <c r="B43" s="3"/>
      <c r="C43" s="3"/>
      <c r="D43" s="1"/>
      <c r="E43" s="1" t="s">
        <v>116</v>
      </c>
      <c r="F43" s="1" t="s">
        <v>9</v>
      </c>
    </row>
    <row r="44" spans="1:6" x14ac:dyDescent="0.15">
      <c r="A44" s="1"/>
      <c r="B44" s="3"/>
      <c r="C44" s="3"/>
      <c r="D44" s="1"/>
      <c r="E44" s="1" t="s">
        <v>117</v>
      </c>
      <c r="F44" s="1" t="s">
        <v>9</v>
      </c>
    </row>
    <row r="45" spans="1:6" x14ac:dyDescent="0.15">
      <c r="A45" s="1"/>
      <c r="B45" s="3"/>
      <c r="C45" s="3"/>
      <c r="D45" s="1"/>
      <c r="E45" s="1" t="s">
        <v>118</v>
      </c>
      <c r="F45" s="1" t="s">
        <v>9</v>
      </c>
    </row>
    <row r="46" spans="1:6" x14ac:dyDescent="0.15">
      <c r="A46" s="1"/>
      <c r="B46" s="3"/>
      <c r="C46" s="3"/>
      <c r="D46" s="1"/>
      <c r="E46" s="1" t="s">
        <v>119</v>
      </c>
      <c r="F46" s="1" t="s">
        <v>9</v>
      </c>
    </row>
    <row r="47" spans="1:6" x14ac:dyDescent="0.15">
      <c r="A47" s="1"/>
      <c r="B47" s="3"/>
      <c r="C47" s="3"/>
      <c r="D47" s="1"/>
      <c r="E47" s="1" t="s">
        <v>120</v>
      </c>
      <c r="F47" s="1" t="s">
        <v>9</v>
      </c>
    </row>
    <row r="48" spans="1:6" x14ac:dyDescent="0.15">
      <c r="A48" s="1"/>
      <c r="B48" s="3"/>
      <c r="C48" s="3"/>
      <c r="D48" s="1"/>
      <c r="E48" s="1" t="s">
        <v>121</v>
      </c>
      <c r="F48" s="1" t="s">
        <v>9</v>
      </c>
    </row>
    <row r="49" spans="1:6" x14ac:dyDescent="0.15">
      <c r="A49" s="1"/>
      <c r="B49" s="3"/>
      <c r="C49" s="3"/>
      <c r="D49" s="1"/>
      <c r="E49" s="1" t="s">
        <v>122</v>
      </c>
      <c r="F49" s="1" t="s">
        <v>9</v>
      </c>
    </row>
    <row r="50" spans="1:6" x14ac:dyDescent="0.15">
      <c r="A50" s="1"/>
      <c r="B50" s="3"/>
      <c r="C50" s="3"/>
      <c r="D50" s="1"/>
      <c r="E50" s="1" t="s">
        <v>123</v>
      </c>
      <c r="F50" s="1" t="s">
        <v>9</v>
      </c>
    </row>
    <row r="51" spans="1:6" x14ac:dyDescent="0.15">
      <c r="A51" s="1"/>
      <c r="B51" s="3"/>
      <c r="C51" s="3"/>
      <c r="D51" s="1"/>
      <c r="E51" s="1" t="s">
        <v>124</v>
      </c>
      <c r="F51" s="1" t="s">
        <v>9</v>
      </c>
    </row>
    <row r="52" spans="1:6" x14ac:dyDescent="0.15">
      <c r="A52" s="1"/>
      <c r="B52" s="3"/>
      <c r="C52" s="3"/>
      <c r="D52" s="1"/>
      <c r="E52" s="1" t="s">
        <v>125</v>
      </c>
      <c r="F52" s="1" t="s">
        <v>9</v>
      </c>
    </row>
    <row r="53" spans="1:6" x14ac:dyDescent="0.15">
      <c r="A53" s="1"/>
      <c r="B53" s="3"/>
      <c r="C53" s="3"/>
      <c r="D53" s="1"/>
      <c r="E53" s="1" t="s">
        <v>126</v>
      </c>
      <c r="F53" s="1" t="s">
        <v>9</v>
      </c>
    </row>
    <row r="54" spans="1:6" x14ac:dyDescent="0.15">
      <c r="A54" s="1"/>
      <c r="B54" s="3"/>
      <c r="C54" s="3"/>
      <c r="D54" s="1"/>
      <c r="E54" s="1" t="s">
        <v>127</v>
      </c>
      <c r="F54" s="1" t="s">
        <v>9</v>
      </c>
    </row>
    <row r="55" spans="1:6" x14ac:dyDescent="0.15">
      <c r="A55" s="1"/>
      <c r="B55" s="3"/>
      <c r="C55" s="3"/>
      <c r="D55" s="1"/>
      <c r="E55" s="1" t="s">
        <v>128</v>
      </c>
      <c r="F55" s="1" t="s">
        <v>9</v>
      </c>
    </row>
    <row r="56" spans="1:6" x14ac:dyDescent="0.15">
      <c r="A56" s="1"/>
      <c r="B56" s="3"/>
      <c r="C56" s="3"/>
      <c r="D56" s="1"/>
      <c r="E56" s="1" t="s">
        <v>129</v>
      </c>
      <c r="F56" s="1" t="s">
        <v>9</v>
      </c>
    </row>
    <row r="57" spans="1:6" x14ac:dyDescent="0.15">
      <c r="A57" s="1"/>
      <c r="B57" s="3"/>
      <c r="C57" s="3"/>
      <c r="D57" s="1"/>
      <c r="E57" s="1" t="s">
        <v>130</v>
      </c>
      <c r="F57" s="1" t="s">
        <v>9</v>
      </c>
    </row>
    <row r="58" spans="1:6" x14ac:dyDescent="0.15">
      <c r="A58" s="1"/>
      <c r="B58" s="3"/>
      <c r="C58" s="3"/>
      <c r="D58" s="1"/>
      <c r="E58" s="1" t="s">
        <v>131</v>
      </c>
      <c r="F58" s="1" t="s">
        <v>9</v>
      </c>
    </row>
    <row r="59" spans="1:6" x14ac:dyDescent="0.15">
      <c r="A59" s="1"/>
      <c r="B59" s="3"/>
      <c r="C59" s="3"/>
      <c r="D59" s="1"/>
      <c r="E59" s="1" t="s">
        <v>132</v>
      </c>
      <c r="F59" s="1" t="s">
        <v>9</v>
      </c>
    </row>
    <row r="60" spans="1:6" x14ac:dyDescent="0.15">
      <c r="A60" s="1"/>
      <c r="B60" s="3"/>
      <c r="C60" s="3"/>
      <c r="D60" s="1"/>
      <c r="E60" s="1" t="s">
        <v>133</v>
      </c>
      <c r="F60" s="1" t="s">
        <v>9</v>
      </c>
    </row>
    <row r="61" spans="1:6" x14ac:dyDescent="0.15">
      <c r="A61" s="1"/>
      <c r="B61" s="3"/>
      <c r="C61" s="3"/>
      <c r="D61" s="1"/>
      <c r="E61" s="1" t="s">
        <v>134</v>
      </c>
      <c r="F61" s="1" t="s">
        <v>9</v>
      </c>
    </row>
    <row r="62" spans="1:6" x14ac:dyDescent="0.15">
      <c r="A62" s="1"/>
      <c r="B62" s="3"/>
      <c r="C62" s="3"/>
      <c r="D62" s="1"/>
      <c r="E62" s="1" t="s">
        <v>135</v>
      </c>
      <c r="F62" s="1" t="s">
        <v>9</v>
      </c>
    </row>
    <row r="63" spans="1:6" x14ac:dyDescent="0.15">
      <c r="A63" s="1"/>
      <c r="B63" s="3"/>
      <c r="C63" s="3"/>
      <c r="D63" s="1"/>
      <c r="E63" s="1" t="s">
        <v>136</v>
      </c>
      <c r="F63" s="1" t="s">
        <v>9</v>
      </c>
    </row>
    <row r="64" spans="1:6" x14ac:dyDescent="0.15">
      <c r="A64" s="1"/>
      <c r="B64" s="3"/>
      <c r="C64" s="3"/>
      <c r="D64" s="1"/>
      <c r="E64" s="1" t="s">
        <v>137</v>
      </c>
      <c r="F64" s="1" t="s">
        <v>9</v>
      </c>
    </row>
    <row r="65" spans="1:6" x14ac:dyDescent="0.15">
      <c r="A65" s="1"/>
      <c r="B65" s="3"/>
      <c r="C65" s="3"/>
      <c r="D65" s="1"/>
      <c r="E65" s="1" t="s">
        <v>138</v>
      </c>
      <c r="F65" s="1" t="s">
        <v>9</v>
      </c>
    </row>
    <row r="66" spans="1:6" x14ac:dyDescent="0.15">
      <c r="A66" s="1"/>
      <c r="B66" s="3"/>
      <c r="C66" s="3"/>
      <c r="D66" s="1"/>
      <c r="E66" s="1" t="s">
        <v>139</v>
      </c>
      <c r="F66" s="1" t="s">
        <v>9</v>
      </c>
    </row>
    <row r="67" spans="1:6" x14ac:dyDescent="0.15">
      <c r="A67" s="1"/>
      <c r="B67" s="3"/>
      <c r="C67" s="3"/>
      <c r="D67" s="1"/>
      <c r="E67" s="1" t="s">
        <v>140</v>
      </c>
      <c r="F67" s="1" t="s">
        <v>9</v>
      </c>
    </row>
    <row r="68" spans="1:6" x14ac:dyDescent="0.15">
      <c r="A68" s="1"/>
      <c r="B68" s="3"/>
      <c r="C68" s="3"/>
      <c r="D68" s="1"/>
      <c r="E68" s="1" t="s">
        <v>141</v>
      </c>
      <c r="F68" s="1" t="s">
        <v>9</v>
      </c>
    </row>
    <row r="69" spans="1:6" x14ac:dyDescent="0.15">
      <c r="A69" s="1"/>
      <c r="B69" s="3"/>
      <c r="C69" s="3"/>
      <c r="D69" s="1"/>
      <c r="E69" s="1" t="s">
        <v>142</v>
      </c>
      <c r="F69" s="1" t="s">
        <v>9</v>
      </c>
    </row>
    <row r="70" spans="1:6" x14ac:dyDescent="0.15">
      <c r="A70" s="1"/>
      <c r="B70" s="3"/>
      <c r="C70" s="3"/>
      <c r="D70" s="1"/>
      <c r="E70" s="1" t="s">
        <v>143</v>
      </c>
      <c r="F70" s="1" t="s">
        <v>9</v>
      </c>
    </row>
    <row r="71" spans="1:6" x14ac:dyDescent="0.15">
      <c r="A71" s="1"/>
      <c r="B71" s="3"/>
      <c r="C71" s="3"/>
      <c r="D71" s="1"/>
      <c r="E71" s="1" t="s">
        <v>144</v>
      </c>
      <c r="F71" s="1" t="s">
        <v>9</v>
      </c>
    </row>
    <row r="72" spans="1:6" x14ac:dyDescent="0.15">
      <c r="A72" s="1"/>
      <c r="B72" s="3"/>
      <c r="C72" s="3"/>
      <c r="D72" s="1"/>
      <c r="E72" s="1" t="s">
        <v>145</v>
      </c>
      <c r="F72" s="1" t="s">
        <v>9</v>
      </c>
    </row>
    <row r="73" spans="1:6" x14ac:dyDescent="0.15">
      <c r="A73" s="1"/>
      <c r="B73" s="3"/>
      <c r="C73" s="3"/>
      <c r="D73" s="1"/>
      <c r="E73" s="1" t="s">
        <v>146</v>
      </c>
      <c r="F73" s="1" t="s">
        <v>9</v>
      </c>
    </row>
    <row r="74" spans="1:6" x14ac:dyDescent="0.15">
      <c r="A74" s="1"/>
      <c r="B74" s="3"/>
      <c r="C74" s="3"/>
      <c r="D74" s="1"/>
      <c r="E74" s="1" t="s">
        <v>147</v>
      </c>
      <c r="F74" s="1" t="s">
        <v>9</v>
      </c>
    </row>
    <row r="75" spans="1:6" x14ac:dyDescent="0.15">
      <c r="A75" s="1"/>
      <c r="B75" s="3"/>
      <c r="C75" s="3"/>
      <c r="D75" s="1"/>
      <c r="E75" s="1" t="s">
        <v>148</v>
      </c>
      <c r="F75" s="1" t="s">
        <v>9</v>
      </c>
    </row>
    <row r="76" spans="1:6" x14ac:dyDescent="0.15">
      <c r="A76" s="1"/>
      <c r="B76" s="3"/>
      <c r="C76" s="3"/>
      <c r="D76" s="1"/>
      <c r="E76" s="1" t="s">
        <v>149</v>
      </c>
      <c r="F76" s="1" t="s">
        <v>9</v>
      </c>
    </row>
    <row r="77" spans="1:6" x14ac:dyDescent="0.15">
      <c r="A77" s="1"/>
      <c r="B77" s="3"/>
      <c r="C77" s="3"/>
      <c r="D77" s="1"/>
      <c r="E77" s="1" t="s">
        <v>150</v>
      </c>
      <c r="F77" s="1" t="s">
        <v>9</v>
      </c>
    </row>
    <row r="78" spans="1:6" x14ac:dyDescent="0.15">
      <c r="A78" s="1"/>
      <c r="B78" s="3"/>
      <c r="C78" s="3"/>
      <c r="D78" s="1"/>
      <c r="E78" s="1" t="s">
        <v>151</v>
      </c>
      <c r="F78" s="1" t="s">
        <v>9</v>
      </c>
    </row>
    <row r="79" spans="1:6" x14ac:dyDescent="0.15">
      <c r="A79" s="1"/>
      <c r="B79" s="3"/>
      <c r="C79" s="3"/>
      <c r="D79" s="1"/>
      <c r="E79" s="1" t="s">
        <v>152</v>
      </c>
      <c r="F79" s="1" t="s">
        <v>9</v>
      </c>
    </row>
    <row r="80" spans="1:6" x14ac:dyDescent="0.15">
      <c r="A80" s="1"/>
      <c r="B80" s="3"/>
      <c r="C80" s="3"/>
      <c r="D80" s="1"/>
      <c r="E80" s="1" t="s">
        <v>153</v>
      </c>
      <c r="F80" s="1" t="s">
        <v>9</v>
      </c>
    </row>
    <row r="81" spans="1:6" x14ac:dyDescent="0.15">
      <c r="A81" s="1"/>
      <c r="B81" s="3"/>
      <c r="C81" s="3"/>
      <c r="D81" s="1"/>
      <c r="E81" s="1" t="s">
        <v>154</v>
      </c>
      <c r="F81" s="1" t="s">
        <v>9</v>
      </c>
    </row>
    <row r="82" spans="1:6" x14ac:dyDescent="0.15">
      <c r="A82" s="1"/>
      <c r="B82" s="3"/>
      <c r="C82" s="3"/>
      <c r="D82" s="1"/>
      <c r="E82" s="1" t="s">
        <v>155</v>
      </c>
      <c r="F82" s="1" t="s">
        <v>9</v>
      </c>
    </row>
    <row r="83" spans="1:6" x14ac:dyDescent="0.15">
      <c r="A83" s="1"/>
      <c r="B83" s="3"/>
      <c r="C83" s="3"/>
      <c r="D83" s="1"/>
      <c r="E83" s="1" t="s">
        <v>156</v>
      </c>
      <c r="F83" s="1" t="s">
        <v>9</v>
      </c>
    </row>
    <row r="84" spans="1:6" x14ac:dyDescent="0.15">
      <c r="A84" s="1"/>
      <c r="B84" s="3"/>
      <c r="C84" s="3"/>
      <c r="D84" s="1"/>
      <c r="E84" s="1" t="s">
        <v>157</v>
      </c>
      <c r="F84" s="1" t="s">
        <v>9</v>
      </c>
    </row>
    <row r="85" spans="1:6" x14ac:dyDescent="0.15">
      <c r="A85" s="1"/>
      <c r="B85" s="3"/>
      <c r="C85" s="3"/>
      <c r="D85" s="1"/>
      <c r="E85" s="1" t="s">
        <v>158</v>
      </c>
      <c r="F85" s="1" t="s">
        <v>9</v>
      </c>
    </row>
    <row r="86" spans="1:6" x14ac:dyDescent="0.15">
      <c r="A86" s="1"/>
      <c r="B86" s="3"/>
      <c r="C86" s="3"/>
      <c r="D86" s="1"/>
      <c r="E86" s="1" t="s">
        <v>159</v>
      </c>
      <c r="F86" s="1" t="s">
        <v>9</v>
      </c>
    </row>
    <row r="87" spans="1:6" x14ac:dyDescent="0.15">
      <c r="A87" s="1"/>
      <c r="B87" s="3"/>
      <c r="C87" s="3"/>
      <c r="D87" s="1"/>
      <c r="E87" s="1" t="s">
        <v>160</v>
      </c>
      <c r="F87" s="1" t="s">
        <v>9</v>
      </c>
    </row>
    <row r="88" spans="1:6" x14ac:dyDescent="0.15">
      <c r="A88" s="1"/>
      <c r="B88" s="3"/>
      <c r="C88" s="3"/>
      <c r="D88" s="1"/>
      <c r="E88" s="1" t="s">
        <v>161</v>
      </c>
      <c r="F88" s="1" t="s">
        <v>9</v>
      </c>
    </row>
    <row r="89" spans="1:6" x14ac:dyDescent="0.15">
      <c r="A89" s="1"/>
      <c r="B89" s="3"/>
      <c r="C89" s="3"/>
      <c r="D89" s="1"/>
      <c r="E89" s="1" t="s">
        <v>162</v>
      </c>
      <c r="F89" s="1" t="s">
        <v>9</v>
      </c>
    </row>
    <row r="90" spans="1:6" x14ac:dyDescent="0.15">
      <c r="A90" s="1"/>
      <c r="B90" s="3"/>
      <c r="C90" s="3"/>
      <c r="D90" s="1"/>
      <c r="E90" s="1" t="s">
        <v>163</v>
      </c>
      <c r="F90" s="1" t="s">
        <v>9</v>
      </c>
    </row>
    <row r="91" spans="1:6" x14ac:dyDescent="0.15">
      <c r="A91" s="1"/>
      <c r="B91" s="3"/>
      <c r="C91" s="3"/>
      <c r="D91" s="1"/>
      <c r="E91" s="1" t="s">
        <v>164</v>
      </c>
      <c r="F91" s="1" t="s">
        <v>9</v>
      </c>
    </row>
    <row r="92" spans="1:6" x14ac:dyDescent="0.15">
      <c r="A92" s="1"/>
      <c r="B92" s="3"/>
      <c r="C92" s="3"/>
      <c r="D92" s="1"/>
      <c r="E92" s="1" t="s">
        <v>165</v>
      </c>
      <c r="F92" s="1" t="s">
        <v>9</v>
      </c>
    </row>
    <row r="93" spans="1:6" x14ac:dyDescent="0.15">
      <c r="A93" s="1"/>
      <c r="B93" s="3"/>
      <c r="C93" s="3"/>
      <c r="D93" s="1"/>
      <c r="E93" s="1" t="s">
        <v>166</v>
      </c>
      <c r="F93" s="1" t="s">
        <v>9</v>
      </c>
    </row>
    <row r="94" spans="1:6" x14ac:dyDescent="0.15">
      <c r="A94" s="1"/>
      <c r="B94" s="3"/>
      <c r="C94" s="3"/>
      <c r="D94" s="1"/>
      <c r="E94" s="1" t="s">
        <v>167</v>
      </c>
      <c r="F94" s="1" t="s">
        <v>9</v>
      </c>
    </row>
    <row r="95" spans="1:6" x14ac:dyDescent="0.15">
      <c r="A95" s="1"/>
      <c r="B95" s="3"/>
      <c r="C95" s="3"/>
      <c r="D95" s="1"/>
      <c r="E95" s="1" t="s">
        <v>168</v>
      </c>
      <c r="F95" s="1" t="s">
        <v>9</v>
      </c>
    </row>
    <row r="96" spans="1:6" x14ac:dyDescent="0.15">
      <c r="A96" s="1"/>
      <c r="B96" s="3"/>
      <c r="C96" s="3"/>
      <c r="D96" s="1"/>
      <c r="E96" s="1" t="s">
        <v>169</v>
      </c>
      <c r="F96" s="1" t="s">
        <v>9</v>
      </c>
    </row>
    <row r="97" spans="1:6" x14ac:dyDescent="0.15">
      <c r="A97" s="1"/>
      <c r="B97" s="3"/>
      <c r="C97" s="3"/>
      <c r="D97" s="1"/>
      <c r="E97" s="1" t="s">
        <v>170</v>
      </c>
      <c r="F97" s="1" t="s">
        <v>9</v>
      </c>
    </row>
    <row r="98" spans="1:6" x14ac:dyDescent="0.15">
      <c r="A98" s="1"/>
      <c r="B98" s="3"/>
      <c r="C98" s="3"/>
      <c r="D98" s="1"/>
      <c r="E98" s="1" t="s">
        <v>171</v>
      </c>
      <c r="F98" s="1" t="s">
        <v>9</v>
      </c>
    </row>
    <row r="99" spans="1:6" x14ac:dyDescent="0.15">
      <c r="A99" s="1"/>
      <c r="B99" s="3"/>
      <c r="C99" s="3"/>
      <c r="D99" s="1"/>
      <c r="E99" s="1" t="s">
        <v>172</v>
      </c>
      <c r="F99" s="1" t="s">
        <v>9</v>
      </c>
    </row>
    <row r="100" spans="1:6" x14ac:dyDescent="0.15">
      <c r="A100" s="1"/>
      <c r="B100" s="3"/>
      <c r="C100" s="3"/>
      <c r="D100" s="1"/>
      <c r="E100" s="1" t="s">
        <v>173</v>
      </c>
      <c r="F100" s="1" t="s">
        <v>9</v>
      </c>
    </row>
    <row r="101" spans="1:6" x14ac:dyDescent="0.15">
      <c r="A101" s="1"/>
      <c r="B101" s="3"/>
      <c r="C101" s="3"/>
      <c r="D101" s="1"/>
      <c r="E101" s="1" t="s">
        <v>174</v>
      </c>
      <c r="F101" s="1" t="s">
        <v>9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36"/>
  <sheetViews>
    <sheetView zoomScaleNormal="100" workbookViewId="0"/>
  </sheetViews>
  <sheetFormatPr defaultRowHeight="13.5" x14ac:dyDescent="0.15"/>
  <cols>
    <col min="1" max="2" width="23" customWidth="1"/>
    <col min="3" max="3" width="24.375" customWidth="1"/>
    <col min="4" max="4" width="10.5" customWidth="1"/>
  </cols>
  <sheetData>
    <row r="1" spans="1:10" x14ac:dyDescent="0.15">
      <c r="A1" s="21" t="s">
        <v>57</v>
      </c>
      <c r="B1" s="21" t="s">
        <v>56</v>
      </c>
      <c r="C1" s="21" t="s">
        <v>55</v>
      </c>
      <c r="D1" s="21" t="s">
        <v>54</v>
      </c>
      <c r="E1" s="21" t="s">
        <v>53</v>
      </c>
      <c r="F1" s="21" t="s">
        <v>52</v>
      </c>
      <c r="G1" s="21" t="s">
        <v>51</v>
      </c>
      <c r="H1" s="21" t="s">
        <v>50</v>
      </c>
      <c r="I1" s="29" t="s">
        <v>73</v>
      </c>
      <c r="J1" s="29" t="s">
        <v>101</v>
      </c>
    </row>
    <row r="2" spans="1:10" x14ac:dyDescent="0.15">
      <c r="A2" s="13" t="s">
        <v>199</v>
      </c>
      <c r="B2" s="19" t="s">
        <v>239</v>
      </c>
      <c r="C2" s="17" t="s">
        <v>49</v>
      </c>
      <c r="D2" s="20">
        <v>26557</v>
      </c>
      <c r="E2" s="14">
        <f>D2</f>
        <v>26557</v>
      </c>
      <c r="F2" s="10">
        <f t="shared" ref="F2:F31" ca="1" si="0">DATEDIF(D2,NOW(),"Y")</f>
        <v>49</v>
      </c>
      <c r="G2" s="13" t="s">
        <v>40</v>
      </c>
      <c r="H2" s="12">
        <v>41640</v>
      </c>
      <c r="I2" s="27"/>
      <c r="J2" s="27">
        <v>1</v>
      </c>
    </row>
    <row r="3" spans="1:10" x14ac:dyDescent="0.15">
      <c r="A3" s="13" t="s">
        <v>200</v>
      </c>
      <c r="B3" s="19" t="s">
        <v>240</v>
      </c>
      <c r="C3" s="18" t="s">
        <v>48</v>
      </c>
      <c r="D3" s="20">
        <v>29478</v>
      </c>
      <c r="E3" s="14">
        <f t="shared" ref="E3:E31" si="1">D3</f>
        <v>29478</v>
      </c>
      <c r="F3" s="10">
        <f t="shared" ca="1" si="0"/>
        <v>41</v>
      </c>
      <c r="G3" s="13" t="s">
        <v>40</v>
      </c>
      <c r="H3" s="12">
        <v>41640</v>
      </c>
      <c r="I3" s="27">
        <v>1</v>
      </c>
      <c r="J3" s="27">
        <v>2</v>
      </c>
    </row>
    <row r="4" spans="1:10" x14ac:dyDescent="0.15">
      <c r="A4" s="13" t="s">
        <v>201</v>
      </c>
      <c r="B4" s="19" t="s">
        <v>241</v>
      </c>
      <c r="C4" s="18" t="s">
        <v>47</v>
      </c>
      <c r="D4" s="20">
        <v>28849</v>
      </c>
      <c r="E4" s="14">
        <f t="shared" si="1"/>
        <v>28849</v>
      </c>
      <c r="F4" s="10">
        <f t="shared" ca="1" si="0"/>
        <v>43</v>
      </c>
      <c r="G4" s="13" t="s">
        <v>37</v>
      </c>
      <c r="H4" s="12">
        <v>41671</v>
      </c>
      <c r="I4" s="27"/>
      <c r="J4" s="27">
        <v>3</v>
      </c>
    </row>
    <row r="5" spans="1:10" x14ac:dyDescent="0.15">
      <c r="A5" s="13" t="s">
        <v>202</v>
      </c>
      <c r="B5" s="19" t="s">
        <v>242</v>
      </c>
      <c r="C5" s="18" t="s">
        <v>46</v>
      </c>
      <c r="D5" s="20">
        <v>29953</v>
      </c>
      <c r="E5" s="14">
        <f t="shared" si="1"/>
        <v>29953</v>
      </c>
      <c r="F5" s="10">
        <f t="shared" ca="1" si="0"/>
        <v>40</v>
      </c>
      <c r="G5" s="13" t="s">
        <v>37</v>
      </c>
      <c r="H5" s="12">
        <v>41760</v>
      </c>
      <c r="I5" s="27"/>
      <c r="J5" s="27">
        <v>4</v>
      </c>
    </row>
    <row r="6" spans="1:10" x14ac:dyDescent="0.15">
      <c r="A6" s="13" t="s">
        <v>203</v>
      </c>
      <c r="B6" s="19" t="s">
        <v>243</v>
      </c>
      <c r="C6" s="18" t="s">
        <v>45</v>
      </c>
      <c r="D6" s="20">
        <v>29451</v>
      </c>
      <c r="E6" s="14">
        <f>D6</f>
        <v>29451</v>
      </c>
      <c r="F6" s="10">
        <f t="shared" ca="1" si="0"/>
        <v>42</v>
      </c>
      <c r="G6" s="13" t="s">
        <v>37</v>
      </c>
      <c r="H6" s="12">
        <v>41821</v>
      </c>
      <c r="I6" s="27"/>
      <c r="J6" s="27">
        <v>5</v>
      </c>
    </row>
    <row r="7" spans="1:10" x14ac:dyDescent="0.15">
      <c r="A7" s="13" t="s">
        <v>204</v>
      </c>
      <c r="B7" s="19" t="s">
        <v>244</v>
      </c>
      <c r="C7" s="18" t="s">
        <v>44</v>
      </c>
      <c r="D7" s="20">
        <v>29579</v>
      </c>
      <c r="E7" s="14">
        <f t="shared" si="1"/>
        <v>29579</v>
      </c>
      <c r="F7" s="10">
        <f t="shared" ca="1" si="0"/>
        <v>41</v>
      </c>
      <c r="G7" s="13" t="s">
        <v>40</v>
      </c>
      <c r="H7" s="12">
        <v>41821</v>
      </c>
      <c r="I7" s="27">
        <v>3</v>
      </c>
      <c r="J7" s="27">
        <v>6</v>
      </c>
    </row>
    <row r="8" spans="1:10" x14ac:dyDescent="0.15">
      <c r="A8" s="13" t="s">
        <v>205</v>
      </c>
      <c r="B8" s="19" t="s">
        <v>245</v>
      </c>
      <c r="C8" s="18" t="s">
        <v>43</v>
      </c>
      <c r="D8" s="20">
        <v>31061</v>
      </c>
      <c r="E8" s="14">
        <f t="shared" si="1"/>
        <v>31061</v>
      </c>
      <c r="F8" s="10">
        <f t="shared" ca="1" si="0"/>
        <v>37</v>
      </c>
      <c r="G8" s="13" t="s">
        <v>40</v>
      </c>
      <c r="H8" s="12">
        <v>41852</v>
      </c>
      <c r="I8" s="27">
        <v>4</v>
      </c>
      <c r="J8" s="27">
        <v>7</v>
      </c>
    </row>
    <row r="9" spans="1:10" x14ac:dyDescent="0.15">
      <c r="A9" s="13" t="s">
        <v>206</v>
      </c>
      <c r="B9" s="19" t="s">
        <v>246</v>
      </c>
      <c r="C9" s="18" t="s">
        <v>42</v>
      </c>
      <c r="D9" s="20">
        <v>28276</v>
      </c>
      <c r="E9" s="14">
        <f t="shared" si="1"/>
        <v>28276</v>
      </c>
      <c r="F9" s="10">
        <f t="shared" ca="1" si="0"/>
        <v>45</v>
      </c>
      <c r="G9" s="13" t="s">
        <v>37</v>
      </c>
      <c r="H9" s="12">
        <v>42005</v>
      </c>
      <c r="I9" s="27"/>
      <c r="J9" s="27">
        <v>8</v>
      </c>
    </row>
    <row r="10" spans="1:10" x14ac:dyDescent="0.15">
      <c r="A10" s="13" t="s">
        <v>207</v>
      </c>
      <c r="B10" s="19" t="s">
        <v>247</v>
      </c>
      <c r="C10" s="18" t="s">
        <v>41</v>
      </c>
      <c r="D10" s="11">
        <v>26869</v>
      </c>
      <c r="E10" s="14">
        <f t="shared" si="1"/>
        <v>26869</v>
      </c>
      <c r="F10" s="10">
        <f t="shared" ca="1" si="0"/>
        <v>49</v>
      </c>
      <c r="G10" s="13" t="s">
        <v>40</v>
      </c>
      <c r="H10" s="9">
        <v>42095</v>
      </c>
      <c r="I10" s="27">
        <v>2</v>
      </c>
      <c r="J10" s="27">
        <v>9</v>
      </c>
    </row>
    <row r="11" spans="1:10" x14ac:dyDescent="0.15">
      <c r="A11" s="13" t="s">
        <v>208</v>
      </c>
      <c r="B11" s="19" t="s">
        <v>248</v>
      </c>
      <c r="C11" s="18" t="s">
        <v>39</v>
      </c>
      <c r="D11" s="11">
        <v>30063</v>
      </c>
      <c r="E11" s="14">
        <f t="shared" si="1"/>
        <v>30063</v>
      </c>
      <c r="F11" s="10">
        <f t="shared" ca="1" si="0"/>
        <v>40</v>
      </c>
      <c r="G11" s="13" t="s">
        <v>37</v>
      </c>
      <c r="H11" s="12">
        <v>42278</v>
      </c>
      <c r="I11" s="27"/>
      <c r="J11" s="27">
        <v>10</v>
      </c>
    </row>
    <row r="12" spans="1:10" x14ac:dyDescent="0.15">
      <c r="A12" s="13" t="s">
        <v>209</v>
      </c>
      <c r="B12" s="19" t="s">
        <v>249</v>
      </c>
      <c r="C12" s="18" t="s">
        <v>38</v>
      </c>
      <c r="D12" s="11">
        <v>27200</v>
      </c>
      <c r="E12" s="14">
        <f t="shared" si="1"/>
        <v>27200</v>
      </c>
      <c r="F12" s="10">
        <f t="shared" ca="1" si="0"/>
        <v>48</v>
      </c>
      <c r="G12" s="13" t="s">
        <v>37</v>
      </c>
      <c r="H12" s="12">
        <v>42401</v>
      </c>
      <c r="I12" s="27"/>
      <c r="J12" s="27">
        <v>11</v>
      </c>
    </row>
    <row r="13" spans="1:10" x14ac:dyDescent="0.15">
      <c r="A13" s="13" t="s">
        <v>210</v>
      </c>
      <c r="B13" s="19" t="s">
        <v>250</v>
      </c>
      <c r="C13" s="18" t="s">
        <v>36</v>
      </c>
      <c r="D13" s="11">
        <v>27417</v>
      </c>
      <c r="E13" s="14">
        <f t="shared" si="1"/>
        <v>27417</v>
      </c>
      <c r="F13" s="10">
        <f t="shared" ca="1" si="0"/>
        <v>47</v>
      </c>
      <c r="G13" s="13" t="s">
        <v>13</v>
      </c>
      <c r="H13" s="12">
        <v>42461</v>
      </c>
      <c r="I13" s="27">
        <v>2</v>
      </c>
      <c r="J13" s="27">
        <v>12</v>
      </c>
    </row>
    <row r="14" spans="1:10" x14ac:dyDescent="0.15">
      <c r="A14" s="13" t="s">
        <v>211</v>
      </c>
      <c r="B14" s="19" t="s">
        <v>251</v>
      </c>
      <c r="C14" s="18" t="s">
        <v>35</v>
      </c>
      <c r="D14" s="11">
        <v>30702</v>
      </c>
      <c r="E14" s="14">
        <f t="shared" si="1"/>
        <v>30702</v>
      </c>
      <c r="F14" s="10">
        <f t="shared" ca="1" si="0"/>
        <v>38</v>
      </c>
      <c r="G14" s="13" t="s">
        <v>34</v>
      </c>
      <c r="H14" s="12">
        <v>42583</v>
      </c>
      <c r="I14" s="27">
        <v>2</v>
      </c>
      <c r="J14" s="27">
        <v>13</v>
      </c>
    </row>
    <row r="15" spans="1:10" x14ac:dyDescent="0.15">
      <c r="A15" s="13" t="s">
        <v>212</v>
      </c>
      <c r="B15" s="19" t="s">
        <v>252</v>
      </c>
      <c r="C15" s="18" t="s">
        <v>33</v>
      </c>
      <c r="D15" s="11">
        <v>33652</v>
      </c>
      <c r="E15" s="14">
        <f t="shared" si="1"/>
        <v>33652</v>
      </c>
      <c r="F15" s="10">
        <f t="shared" ca="1" si="0"/>
        <v>30</v>
      </c>
      <c r="G15" s="13" t="s">
        <v>21</v>
      </c>
      <c r="H15" s="12">
        <v>42654</v>
      </c>
      <c r="I15" s="27">
        <v>4</v>
      </c>
      <c r="J15" s="27">
        <v>14</v>
      </c>
    </row>
    <row r="16" spans="1:10" x14ac:dyDescent="0.15">
      <c r="A16" s="13" t="s">
        <v>213</v>
      </c>
      <c r="B16" s="19" t="s">
        <v>253</v>
      </c>
      <c r="C16" s="18" t="s">
        <v>32</v>
      </c>
      <c r="D16" s="11">
        <v>31593</v>
      </c>
      <c r="E16" s="14">
        <f t="shared" si="1"/>
        <v>31593</v>
      </c>
      <c r="F16" s="10">
        <f t="shared" ca="1" si="0"/>
        <v>36</v>
      </c>
      <c r="G16" s="13" t="s">
        <v>13</v>
      </c>
      <c r="H16" s="12">
        <v>42736</v>
      </c>
      <c r="I16" s="27">
        <v>1</v>
      </c>
      <c r="J16" s="27">
        <v>15</v>
      </c>
    </row>
    <row r="17" spans="1:10" x14ac:dyDescent="0.15">
      <c r="A17" s="13" t="s">
        <v>214</v>
      </c>
      <c r="B17" s="19" t="s">
        <v>254</v>
      </c>
      <c r="C17" s="18" t="s">
        <v>31</v>
      </c>
      <c r="D17" s="11">
        <v>27854</v>
      </c>
      <c r="E17" s="14">
        <f t="shared" si="1"/>
        <v>27854</v>
      </c>
      <c r="F17" s="10">
        <f t="shared" ca="1" si="0"/>
        <v>46</v>
      </c>
      <c r="G17" s="13" t="s">
        <v>14</v>
      </c>
      <c r="H17" s="12">
        <v>42767</v>
      </c>
      <c r="I17" s="27"/>
      <c r="J17" s="27">
        <v>16</v>
      </c>
    </row>
    <row r="18" spans="1:10" x14ac:dyDescent="0.15">
      <c r="A18" s="13" t="s">
        <v>215</v>
      </c>
      <c r="B18" s="19" t="s">
        <v>255</v>
      </c>
      <c r="C18" s="18" t="s">
        <v>30</v>
      </c>
      <c r="D18" s="11">
        <v>32332</v>
      </c>
      <c r="E18" s="14">
        <f t="shared" si="1"/>
        <v>32332</v>
      </c>
      <c r="F18" s="10">
        <f t="shared" ca="1" si="0"/>
        <v>34</v>
      </c>
      <c r="G18" s="13" t="s">
        <v>13</v>
      </c>
      <c r="H18" s="12">
        <v>42795</v>
      </c>
      <c r="I18" s="27">
        <v>3</v>
      </c>
      <c r="J18" s="27">
        <v>17</v>
      </c>
    </row>
    <row r="19" spans="1:10" x14ac:dyDescent="0.15">
      <c r="A19" s="13" t="s">
        <v>216</v>
      </c>
      <c r="B19" s="19" t="s">
        <v>256</v>
      </c>
      <c r="C19" s="18" t="s">
        <v>29</v>
      </c>
      <c r="D19" s="11">
        <v>33416</v>
      </c>
      <c r="E19" s="14">
        <f t="shared" si="1"/>
        <v>33416</v>
      </c>
      <c r="F19" s="10">
        <f t="shared" ca="1" si="0"/>
        <v>31</v>
      </c>
      <c r="G19" s="13" t="s">
        <v>13</v>
      </c>
      <c r="H19" s="12">
        <v>42826</v>
      </c>
      <c r="I19" s="27">
        <v>4</v>
      </c>
      <c r="J19" s="27">
        <v>18</v>
      </c>
    </row>
    <row r="20" spans="1:10" x14ac:dyDescent="0.15">
      <c r="A20" s="13" t="s">
        <v>217</v>
      </c>
      <c r="B20" s="19" t="s">
        <v>257</v>
      </c>
      <c r="C20" s="17" t="s">
        <v>28</v>
      </c>
      <c r="D20" s="11">
        <v>33970</v>
      </c>
      <c r="E20" s="14">
        <f t="shared" si="1"/>
        <v>33970</v>
      </c>
      <c r="F20" s="10">
        <f t="shared" ca="1" si="0"/>
        <v>29</v>
      </c>
      <c r="G20" s="13" t="s">
        <v>13</v>
      </c>
      <c r="H20" s="12">
        <v>42826</v>
      </c>
      <c r="I20" s="27">
        <v>4</v>
      </c>
      <c r="J20" s="27">
        <v>19</v>
      </c>
    </row>
    <row r="21" spans="1:10" x14ac:dyDescent="0.15">
      <c r="A21" s="16" t="s">
        <v>218</v>
      </c>
      <c r="B21" s="19" t="s">
        <v>258</v>
      </c>
      <c r="C21" s="18" t="s">
        <v>27</v>
      </c>
      <c r="D21" s="11">
        <v>33008</v>
      </c>
      <c r="E21" s="14">
        <f t="shared" si="1"/>
        <v>33008</v>
      </c>
      <c r="F21" s="10">
        <f t="shared" ca="1" si="0"/>
        <v>32</v>
      </c>
      <c r="G21" s="13" t="s">
        <v>13</v>
      </c>
      <c r="H21" s="12">
        <v>43009</v>
      </c>
      <c r="I21" s="27">
        <v>1</v>
      </c>
      <c r="J21" s="27">
        <v>20</v>
      </c>
    </row>
    <row r="22" spans="1:10" x14ac:dyDescent="0.15">
      <c r="A22" s="16" t="s">
        <v>219</v>
      </c>
      <c r="B22" s="19" t="s">
        <v>259</v>
      </c>
      <c r="C22" s="18" t="s">
        <v>26</v>
      </c>
      <c r="D22" s="11">
        <v>33840</v>
      </c>
      <c r="E22" s="14">
        <f t="shared" si="1"/>
        <v>33840</v>
      </c>
      <c r="F22" s="10">
        <f t="shared" ca="1" si="0"/>
        <v>30</v>
      </c>
      <c r="G22" s="13" t="s">
        <v>13</v>
      </c>
      <c r="H22" s="12">
        <v>43009</v>
      </c>
      <c r="I22" s="27">
        <v>2</v>
      </c>
      <c r="J22" s="27">
        <v>21</v>
      </c>
    </row>
    <row r="23" spans="1:10" x14ac:dyDescent="0.15">
      <c r="A23" s="16" t="s">
        <v>220</v>
      </c>
      <c r="B23" s="19" t="s">
        <v>260</v>
      </c>
      <c r="C23" s="17" t="s">
        <v>25</v>
      </c>
      <c r="D23" s="11">
        <v>29992</v>
      </c>
      <c r="E23" s="14">
        <f t="shared" si="1"/>
        <v>29992</v>
      </c>
      <c r="F23" s="10">
        <f t="shared" ca="1" si="0"/>
        <v>40</v>
      </c>
      <c r="G23" s="13" t="s">
        <v>13</v>
      </c>
      <c r="H23" s="12">
        <v>43101</v>
      </c>
      <c r="I23" s="27">
        <v>2</v>
      </c>
      <c r="J23" s="27">
        <v>22</v>
      </c>
    </row>
    <row r="24" spans="1:10" x14ac:dyDescent="0.15">
      <c r="A24" s="16" t="s">
        <v>221</v>
      </c>
      <c r="B24" s="19" t="s">
        <v>261</v>
      </c>
      <c r="C24" s="17" t="s">
        <v>24</v>
      </c>
      <c r="D24" s="11">
        <v>31915</v>
      </c>
      <c r="E24" s="14">
        <f t="shared" si="1"/>
        <v>31915</v>
      </c>
      <c r="F24" s="10">
        <f t="shared" ca="1" si="0"/>
        <v>35</v>
      </c>
      <c r="G24" s="13" t="s">
        <v>23</v>
      </c>
      <c r="H24" s="12">
        <v>43132</v>
      </c>
      <c r="I24" s="27"/>
      <c r="J24" s="27">
        <v>23</v>
      </c>
    </row>
    <row r="25" spans="1:10" x14ac:dyDescent="0.15">
      <c r="A25" s="16" t="s">
        <v>222</v>
      </c>
      <c r="B25" s="19" t="s">
        <v>262</v>
      </c>
      <c r="C25" s="17" t="s">
        <v>22</v>
      </c>
      <c r="D25" s="11">
        <v>31323</v>
      </c>
      <c r="E25" s="14">
        <f t="shared" si="1"/>
        <v>31323</v>
      </c>
      <c r="F25" s="10">
        <f t="shared" ca="1" si="0"/>
        <v>36</v>
      </c>
      <c r="G25" s="13" t="s">
        <v>21</v>
      </c>
      <c r="H25" s="12">
        <v>43132</v>
      </c>
      <c r="I25" s="27">
        <v>2</v>
      </c>
      <c r="J25" s="27">
        <v>24</v>
      </c>
    </row>
    <row r="26" spans="1:10" x14ac:dyDescent="0.15">
      <c r="A26" s="16" t="s">
        <v>223</v>
      </c>
      <c r="B26" s="19" t="s">
        <v>263</v>
      </c>
      <c r="C26" s="17" t="s">
        <v>20</v>
      </c>
      <c r="D26" s="11">
        <v>33014</v>
      </c>
      <c r="E26" s="14">
        <f t="shared" si="1"/>
        <v>33014</v>
      </c>
      <c r="F26" s="10">
        <f t="shared" ca="1" si="0"/>
        <v>32</v>
      </c>
      <c r="G26" s="13" t="s">
        <v>14</v>
      </c>
      <c r="H26" s="12">
        <v>43191</v>
      </c>
      <c r="I26" s="27"/>
      <c r="J26" s="27">
        <v>25</v>
      </c>
    </row>
    <row r="27" spans="1:10" x14ac:dyDescent="0.15">
      <c r="A27" s="16" t="s">
        <v>224</v>
      </c>
      <c r="B27" s="19" t="s">
        <v>264</v>
      </c>
      <c r="C27" s="15" t="s">
        <v>19</v>
      </c>
      <c r="D27" s="11">
        <v>32410</v>
      </c>
      <c r="E27" s="14">
        <f t="shared" si="1"/>
        <v>32410</v>
      </c>
      <c r="F27" s="10">
        <f t="shared" ca="1" si="0"/>
        <v>33</v>
      </c>
      <c r="G27" s="13" t="s">
        <v>13</v>
      </c>
      <c r="H27" s="12">
        <v>43252</v>
      </c>
      <c r="I27" s="27">
        <v>3</v>
      </c>
      <c r="J27" s="27">
        <v>26</v>
      </c>
    </row>
    <row r="28" spans="1:10" x14ac:dyDescent="0.15">
      <c r="A28" s="16" t="s">
        <v>225</v>
      </c>
      <c r="B28" s="19" t="s">
        <v>265</v>
      </c>
      <c r="C28" s="15" t="s">
        <v>18</v>
      </c>
      <c r="D28" s="11">
        <v>26690</v>
      </c>
      <c r="E28" s="14">
        <f t="shared" si="1"/>
        <v>26690</v>
      </c>
      <c r="F28" s="10">
        <f t="shared" ca="1" si="0"/>
        <v>49</v>
      </c>
      <c r="G28" s="13" t="s">
        <v>13</v>
      </c>
      <c r="H28" s="12">
        <v>43282</v>
      </c>
      <c r="I28" s="27">
        <v>1</v>
      </c>
      <c r="J28" s="27">
        <v>27</v>
      </c>
    </row>
    <row r="29" spans="1:10" x14ac:dyDescent="0.15">
      <c r="A29" s="16" t="s">
        <v>226</v>
      </c>
      <c r="B29" s="19" t="s">
        <v>266</v>
      </c>
      <c r="C29" s="15" t="s">
        <v>17</v>
      </c>
      <c r="D29" s="11">
        <v>32832</v>
      </c>
      <c r="E29" s="14">
        <f t="shared" si="1"/>
        <v>32832</v>
      </c>
      <c r="F29" s="10">
        <f t="shared" ca="1" si="0"/>
        <v>32</v>
      </c>
      <c r="G29" s="13" t="s">
        <v>14</v>
      </c>
      <c r="H29" s="12">
        <v>43466</v>
      </c>
      <c r="I29" s="27"/>
      <c r="J29" s="27">
        <v>28</v>
      </c>
    </row>
    <row r="30" spans="1:10" x14ac:dyDescent="0.15">
      <c r="A30" s="16" t="s">
        <v>227</v>
      </c>
      <c r="B30" s="19" t="s">
        <v>267</v>
      </c>
      <c r="C30" s="15" t="s">
        <v>16</v>
      </c>
      <c r="D30" s="11">
        <v>32947</v>
      </c>
      <c r="E30" s="14">
        <f t="shared" si="1"/>
        <v>32947</v>
      </c>
      <c r="F30" s="10">
        <f t="shared" ca="1" si="0"/>
        <v>32</v>
      </c>
      <c r="G30" s="13" t="s">
        <v>14</v>
      </c>
      <c r="H30" s="12">
        <v>43466</v>
      </c>
      <c r="I30" s="27"/>
      <c r="J30" s="27">
        <v>29</v>
      </c>
    </row>
    <row r="31" spans="1:10" x14ac:dyDescent="0.15">
      <c r="A31" s="13" t="s">
        <v>238</v>
      </c>
      <c r="B31" s="19" t="s">
        <v>268</v>
      </c>
      <c r="C31" s="15" t="s">
        <v>15</v>
      </c>
      <c r="D31" s="11">
        <v>33976</v>
      </c>
      <c r="E31" s="14">
        <f t="shared" si="1"/>
        <v>33976</v>
      </c>
      <c r="F31" s="10">
        <f t="shared" ca="1" si="0"/>
        <v>29</v>
      </c>
      <c r="G31" s="13" t="s">
        <v>13</v>
      </c>
      <c r="H31" s="12">
        <v>43556</v>
      </c>
      <c r="I31" s="27">
        <v>3</v>
      </c>
      <c r="J31" s="27">
        <v>30</v>
      </c>
    </row>
    <row r="32" spans="1:10" x14ac:dyDescent="0.15">
      <c r="A32" s="22"/>
      <c r="B32" s="22"/>
      <c r="C32" s="23"/>
      <c r="D32" s="24"/>
      <c r="E32" s="25"/>
      <c r="F32" s="22"/>
      <c r="G32" s="22"/>
      <c r="H32" s="26"/>
    </row>
    <row r="33" spans="1:8" x14ac:dyDescent="0.15">
      <c r="A33" s="4"/>
      <c r="B33" s="4"/>
      <c r="C33" s="4"/>
      <c r="D33" s="4"/>
      <c r="E33" s="4"/>
      <c r="F33" s="5"/>
      <c r="G33" s="4"/>
      <c r="H33" s="4"/>
    </row>
    <row r="34" spans="1:8" x14ac:dyDescent="0.15">
      <c r="A34" s="7" t="s">
        <v>12</v>
      </c>
      <c r="B34" s="6">
        <f>COUNTA(A2:A31)</f>
        <v>30</v>
      </c>
      <c r="C34" s="8"/>
      <c r="D34" s="8"/>
      <c r="E34" s="4"/>
      <c r="F34" s="8"/>
      <c r="G34" s="8"/>
      <c r="H34" s="8"/>
    </row>
    <row r="35" spans="1:8" x14ac:dyDescent="0.15">
      <c r="A35" s="7" t="s">
        <v>11</v>
      </c>
      <c r="B35" s="6">
        <f>COUNTIFS(G2:G31,"東京")</f>
        <v>19</v>
      </c>
      <c r="C35" s="4"/>
      <c r="D35" s="4"/>
      <c r="E35" s="4"/>
      <c r="F35" s="5"/>
      <c r="G35" s="4"/>
      <c r="H35" s="4"/>
    </row>
    <row r="36" spans="1:8" x14ac:dyDescent="0.15">
      <c r="A36" s="7" t="s">
        <v>10</v>
      </c>
      <c r="B36" s="6">
        <f>COUNTIFS(G2:G31,"大阪")</f>
        <v>11</v>
      </c>
      <c r="C36" s="4"/>
      <c r="D36" s="4"/>
      <c r="E36" s="4"/>
      <c r="F36" s="5"/>
      <c r="G36" s="4"/>
      <c r="H36" s="4"/>
    </row>
  </sheetData>
  <autoFilter ref="A1:H31" xr:uid="{00000000-0009-0000-0000-000003000000}"/>
  <phoneticPr fontId="1"/>
  <hyperlinks>
    <hyperlink ref="C24" r:id="rId1" xr:uid="{00000000-0004-0000-0300-000000000000}"/>
    <hyperlink ref="C25" r:id="rId2" xr:uid="{00000000-0004-0000-0300-000001000000}"/>
  </hyperlinks>
  <pageMargins left="0.7" right="0.7" top="0.75" bottom="0.75" header="0.3" footer="0.3"/>
  <pageSetup paperSize="9" orientation="portrait" horizontalDpi="4294967293" verticalDpi="300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配置表作成</vt:lpstr>
      <vt:lpstr>配置表</vt:lpstr>
      <vt:lpstr>出欠一覧</vt:lpstr>
      <vt:lpstr>社員名簿</vt:lpstr>
      <vt:lpstr>配置表!Print_Area</vt:lpstr>
      <vt:lpstr>配置表作成!Print_Area</vt:lpstr>
      <vt:lpstr>配置表!Print_Titles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pc</cp:lastModifiedBy>
  <cp:lastPrinted>2020-03-14T07:49:22Z</cp:lastPrinted>
  <dcterms:created xsi:type="dcterms:W3CDTF">2020-02-03T12:47:45Z</dcterms:created>
  <dcterms:modified xsi:type="dcterms:W3CDTF">2022-08-29T17:54:59Z</dcterms:modified>
</cp:coreProperties>
</file>